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69490B4-A233-4069-B313-035BA6D0E946}" xr6:coauthVersionLast="47" xr6:coauthVersionMax="47" xr10:uidLastSave="{00000000-0000-0000-0000-000000000000}"/>
  <bookViews>
    <workbookView xWindow="-110" yWindow="-110" windowWidth="19420" windowHeight="10300" firstSheet="3" activeTab="6" xr2:uid="{48C2B9FF-7C21-46D3-AA2D-5860CA5714EE}"/>
  </bookViews>
  <sheets>
    <sheet name="Hospital_Data" sheetId="1" r:id="rId1"/>
    <sheet name="Patients by Department" sheetId="3" r:id="rId2"/>
    <sheet name="Patient by Location" sheetId="4" r:id="rId3"/>
    <sheet name="Expenses by Hospital" sheetId="5" r:id="rId4"/>
    <sheet name="Monthly Expenses Trend" sheetId="6" r:id="rId5"/>
    <sheet name="Avg Stay By Department" sheetId="7" r:id="rId6"/>
    <sheet name="Dashboard" sheetId="8" r:id="rId7"/>
  </sheets>
  <calcPr calcId="0"/>
  <pivotCaches>
    <pivotCache cacheId="11" r:id="rId8"/>
  </pivotCaches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</calcChain>
</file>

<file path=xl/sharedStrings.xml><?xml version="1.0" encoding="utf-8"?>
<sst xmlns="http://schemas.openxmlformats.org/spreadsheetml/2006/main" count="377" uniqueCount="57">
  <si>
    <t>Hospital Name</t>
  </si>
  <si>
    <t>Location</t>
  </si>
  <si>
    <t>Department</t>
  </si>
  <si>
    <t>Doctors Count</t>
  </si>
  <si>
    <t>Patients Count</t>
  </si>
  <si>
    <t>Admission Date</t>
  </si>
  <si>
    <t>Discharge Date</t>
  </si>
  <si>
    <t>Medical Expenses</t>
  </si>
  <si>
    <t>Wellness Clinic</t>
  </si>
  <si>
    <t>Chennai</t>
  </si>
  <si>
    <t>Orthopedics</t>
  </si>
  <si>
    <t>Fortis Care</t>
  </si>
  <si>
    <t>Pune</t>
  </si>
  <si>
    <t>ENT</t>
  </si>
  <si>
    <t>Ahmedabad</t>
  </si>
  <si>
    <t>Pediatrics</t>
  </si>
  <si>
    <t>Heritage Hospital</t>
  </si>
  <si>
    <t>Hyderabad</t>
  </si>
  <si>
    <t>Urology</t>
  </si>
  <si>
    <t>City Hospital</t>
  </si>
  <si>
    <t>Kolkata</t>
  </si>
  <si>
    <t>Gynecology</t>
  </si>
  <si>
    <t>Oncology</t>
  </si>
  <si>
    <t>Global Medicare</t>
  </si>
  <si>
    <t>Apollo Health</t>
  </si>
  <si>
    <t>Jaipur</t>
  </si>
  <si>
    <t>General Medicine</t>
  </si>
  <si>
    <t>Green Valley Hospital</t>
  </si>
  <si>
    <t>Healing Touch</t>
  </si>
  <si>
    <t>Mumbai</t>
  </si>
  <si>
    <t>Dermatology</t>
  </si>
  <si>
    <t>Lucknow</t>
  </si>
  <si>
    <t>Cardiology</t>
  </si>
  <si>
    <t>Sunrise Medical</t>
  </si>
  <si>
    <t>Neurology</t>
  </si>
  <si>
    <t>Delhi</t>
  </si>
  <si>
    <t>Metro Hospital</t>
  </si>
  <si>
    <t>Bangalore</t>
  </si>
  <si>
    <t xml:space="preserve">Stay Days </t>
  </si>
  <si>
    <t xml:space="preserve">Month </t>
  </si>
  <si>
    <t>Row Labels</t>
  </si>
  <si>
    <t>Grand Total</t>
  </si>
  <si>
    <t>Sum of Patients Count</t>
  </si>
  <si>
    <t>Sum of Medical Expenses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</si>
  <si>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</si>
  <si>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</si>
  <si>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</si>
  <si>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</si>
  <si>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</si>
  <si>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</si>
  <si>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</si>
  <si>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</si>
  <si>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</si>
  <si>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</si>
  <si>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</si>
  <si>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</si>
  <si>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Sum of Stay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</si>
</sst>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[HospitalData_Dashboard.xlsx]Avg Stay By Department!PivotTable5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'Avg Stay By Department'!$B$3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70-40AD-8835-45A4DD1547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70-40AD-8835-45A4DD1547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70-40AD-8835-45A4DD1547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70-40AD-8835-45A4DD1547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70-40AD-8835-45A4DD1547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70-40AD-8835-45A4DD1547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70-40AD-8835-45A4DD1547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770-40AD-8835-45A4DD15473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770-40AD-8835-45A4DD1547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770-40AD-8835-45A4DD15473D}"/>
              </c:ext>
            </c:extLst>
          </c:dPt>
          <c:cat>
            <c:strRef>
              <c:f>'Avg Stay By Department'!$A$4:$A$14</c:f>
              <c:strCache>
                <c:ptCount val="10"/>
                <c:pt idx="0">
                  <c:v>Cardiology</c:v>
                </c:pt>
                <c:pt idx="1">
                  <c:v>Dermatology</c:v>
                </c:pt>
                <c:pt idx="2">
                  <c:v>ENT</c:v>
                </c:pt>
                <c:pt idx="3">
                  <c:v>General Medicine</c:v>
                </c:pt>
                <c:pt idx="4">
                  <c:v>Gynecology</c:v>
                </c:pt>
                <c:pt idx="5">
                  <c:v>Neurology</c:v>
                </c:pt>
                <c:pt idx="6">
                  <c:v>Oncology</c:v>
                </c:pt>
                <c:pt idx="7">
                  <c:v>Orthopedics</c:v>
                </c:pt>
                <c:pt idx="8">
                  <c:v>Pediatrics</c:v>
                </c:pt>
                <c:pt idx="9">
                  <c:v>Urology</c:v>
                </c:pt>
              </c:strCache>
            </c:strRef>
          </c:cat>
          <c:val>
            <c:numRef>
              <c:f>'Avg Stay By Department'!$B$4:$B$14</c:f>
              <c:numCache>
                <c:formatCode>General</c:formatCode>
                <c:ptCount val="10"/>
                <c:pt idx="0">
                  <c:v>48</c:v>
                </c:pt>
                <c:pt idx="1">
                  <c:v>56</c:v>
                </c:pt>
                <c:pt idx="2">
                  <c:v>97</c:v>
                </c:pt>
                <c:pt idx="3">
                  <c:v>52</c:v>
                </c:pt>
                <c:pt idx="4">
                  <c:v>69</c:v>
                </c:pt>
                <c:pt idx="5">
                  <c:v>111</c:v>
                </c:pt>
                <c:pt idx="6">
                  <c:v>73</c:v>
                </c:pt>
                <c:pt idx="7">
                  <c:v>50</c:v>
                </c:pt>
                <c:pt idx="8">
                  <c:v>82</c:v>
                </c:pt>
                <c:pt idx="9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770-40AD-8835-45A4DD154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321984057548366"/>
          <c:y val="0.20236513653878371"/>
          <c:w val="0.25418756683192378"/>
          <c:h val="0.615852320321661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[HospitalData_Dashboard.xlsx]Monthly Expenses Trend!PivotTable4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Expenses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Expenses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Expenses Trend'!$B$4:$B$16</c:f>
              <c:numCache>
                <c:formatCode>General</c:formatCode>
                <c:ptCount val="12"/>
                <c:pt idx="0">
                  <c:v>173971.54</c:v>
                </c:pt>
                <c:pt idx="1">
                  <c:v>301722.71999999997</c:v>
                </c:pt>
                <c:pt idx="2">
                  <c:v>199247.42</c:v>
                </c:pt>
                <c:pt idx="3">
                  <c:v>88995.93</c:v>
                </c:pt>
                <c:pt idx="4">
                  <c:v>222986.71999999997</c:v>
                </c:pt>
                <c:pt idx="5">
                  <c:v>165926.36000000002</c:v>
                </c:pt>
                <c:pt idx="6">
                  <c:v>211527.13</c:v>
                </c:pt>
                <c:pt idx="7">
                  <c:v>181039.55</c:v>
                </c:pt>
                <c:pt idx="8">
                  <c:v>341284.23</c:v>
                </c:pt>
                <c:pt idx="9">
                  <c:v>158450.68</c:v>
                </c:pt>
                <c:pt idx="10">
                  <c:v>334370.33</c:v>
                </c:pt>
                <c:pt idx="11">
                  <c:v>337788.45000000007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A4-403F-A922-B031DBAA7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392200"/>
        <c:axId val="551392560"/>
      </c:lineChart>
      <c:catAx>
        <c:axId val="551392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92560"/>
        <c:crosses val="autoZero"/>
        <c:auto val="1"/>
        <c:lblAlgn val="ctr"/>
        <c:lblOffset val="100"/>
        <c:noMultiLvlLbl val="0"/>
      </c:catAx>
      <c:valAx>
        <c:axId val="55139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92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[HospitalData_Dashboard.xlsx]Expenses by Hospital!PivotTable3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'Expenses by Hospital'!$B$3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D9-4780-A350-0596F75419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D9-4780-A350-0596F75419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D9-4780-A350-0596F75419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D9-4780-A350-0596F75419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D9-4780-A350-0596F75419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4D9-4780-A350-0596F75419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4D9-4780-A350-0596F75419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4D9-4780-A350-0596F75419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4D9-4780-A350-0596F754191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4D9-4780-A350-0596F754191D}"/>
              </c:ext>
            </c:extLst>
          </c:dPt>
          <c:cat>
            <c:strRef>
              <c:f>'Expenses by Hospital'!$A$4:$A$14</c:f>
              <c:strCache>
                <c:ptCount val="10"/>
                <c:pt idx="0">
                  <c:v>Apollo Health</c:v>
                </c:pt>
                <c:pt idx="1">
                  <c:v>City Hospital</c:v>
                </c:pt>
                <c:pt idx="2">
                  <c:v>Fortis Care</c:v>
                </c:pt>
                <c:pt idx="3">
                  <c:v>Global Medicare</c:v>
                </c:pt>
                <c:pt idx="4">
                  <c:v>Green Valley Hospital</c:v>
                </c:pt>
                <c:pt idx="5">
                  <c:v>Healing Touch</c:v>
                </c:pt>
                <c:pt idx="6">
                  <c:v>Heritage Hospital</c:v>
                </c:pt>
                <c:pt idx="7">
                  <c:v>Metro Hospital</c:v>
                </c:pt>
                <c:pt idx="8">
                  <c:v>Sunrise Medical</c:v>
                </c:pt>
                <c:pt idx="9">
                  <c:v>Wellness Clinic</c:v>
                </c:pt>
              </c:strCache>
            </c:strRef>
          </c:cat>
          <c:val>
            <c:numRef>
              <c:f>'Expenses by Hospital'!$B$4:$B$14</c:f>
              <c:numCache>
                <c:formatCode>General</c:formatCode>
                <c:ptCount val="10"/>
                <c:pt idx="0">
                  <c:v>277335.09000000003</c:v>
                </c:pt>
                <c:pt idx="1">
                  <c:v>347988.43999999994</c:v>
                </c:pt>
                <c:pt idx="2">
                  <c:v>337677.36</c:v>
                </c:pt>
                <c:pt idx="3">
                  <c:v>329739.44999999995</c:v>
                </c:pt>
                <c:pt idx="4">
                  <c:v>162188.82999999999</c:v>
                </c:pt>
                <c:pt idx="5">
                  <c:v>352178.06</c:v>
                </c:pt>
                <c:pt idx="6">
                  <c:v>186899.03</c:v>
                </c:pt>
                <c:pt idx="7">
                  <c:v>314786.05</c:v>
                </c:pt>
                <c:pt idx="8">
                  <c:v>233050.93</c:v>
                </c:pt>
                <c:pt idx="9">
                  <c:v>175467.82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4D9-4780-A350-0596F7541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[HospitalData_Dashboard.xlsx]Patient by Location!PivotTable2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'Patient by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'Patient by Location'!$A$4:$A$14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'Patient by Location'!$B$4:$B$14</c:f>
              <c:numCache>
                <c:formatCode>General</c:formatCode>
                <c:ptCount val="10"/>
                <c:pt idx="0">
                  <c:v>1467</c:v>
                </c:pt>
                <c:pt idx="1">
                  <c:v>955</c:v>
                </c:pt>
                <c:pt idx="2">
                  <c:v>840</c:v>
                </c:pt>
                <c:pt idx="3">
                  <c:v>421</c:v>
                </c:pt>
                <c:pt idx="4">
                  <c:v>1261</c:v>
                </c:pt>
                <c:pt idx="5">
                  <c:v>1505</c:v>
                </c:pt>
                <c:pt idx="6">
                  <c:v>596</c:v>
                </c:pt>
                <c:pt idx="7">
                  <c:v>1264</c:v>
                </c:pt>
                <c:pt idx="8">
                  <c:v>483</c:v>
                </c:pt>
                <c:pt idx="9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1-45BE-9C2D-578118BC2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5027688"/>
        <c:axId val="515028048"/>
        <c:axId val="0"/>
      </c:bar3DChart>
      <c:catAx>
        <c:axId val="51502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028048"/>
        <c:crosses val="autoZero"/>
        <c:auto val="1"/>
        <c:lblAlgn val="ctr"/>
        <c:lblOffset val="100"/>
        <c:noMultiLvlLbl val="0"/>
      </c:catAx>
      <c:valAx>
        <c:axId val="51502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02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[HospitalData_Dashboard.xlsx]Patients by Department!PivotTable1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'Patients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'Patients by Department'!$A$4:$A$14</c:f>
              <c:strCache>
                <c:ptCount val="10"/>
                <c:pt idx="0">
                  <c:v>Cardiology</c:v>
                </c:pt>
                <c:pt idx="1">
                  <c:v>Dermatology</c:v>
                </c:pt>
                <c:pt idx="2">
                  <c:v>ENT</c:v>
                </c:pt>
                <c:pt idx="3">
                  <c:v>General Medicine</c:v>
                </c:pt>
                <c:pt idx="4">
                  <c:v>Gynecology</c:v>
                </c:pt>
                <c:pt idx="5">
                  <c:v>Neurology</c:v>
                </c:pt>
                <c:pt idx="6">
                  <c:v>Oncology</c:v>
                </c:pt>
                <c:pt idx="7">
                  <c:v>Orthopedics</c:v>
                </c:pt>
                <c:pt idx="8">
                  <c:v>Pediatrics</c:v>
                </c:pt>
                <c:pt idx="9">
                  <c:v>Urology</c:v>
                </c:pt>
              </c:strCache>
            </c:strRef>
          </c:cat>
          <c:val>
            <c:numRef>
              <c:f>'Patients by Department'!$B$4:$B$14</c:f>
              <c:numCache>
                <c:formatCode>General</c:formatCode>
                <c:ptCount val="10"/>
                <c:pt idx="0">
                  <c:v>544</c:v>
                </c:pt>
                <c:pt idx="1">
                  <c:v>978</c:v>
                </c:pt>
                <c:pt idx="2">
                  <c:v>1064</c:v>
                </c:pt>
                <c:pt idx="3">
                  <c:v>563</c:v>
                </c:pt>
                <c:pt idx="4">
                  <c:v>678</c:v>
                </c:pt>
                <c:pt idx="5">
                  <c:v>1229</c:v>
                </c:pt>
                <c:pt idx="6">
                  <c:v>770</c:v>
                </c:pt>
                <c:pt idx="7">
                  <c:v>762</c:v>
                </c:pt>
                <c:pt idx="8">
                  <c:v>993</c:v>
                </c:pt>
                <c:pt idx="9">
                  <c:v>1766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3-4DC9-8B02-10F81D258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0411512"/>
        <c:axId val="516908504"/>
      </c:barChart>
      <c:catAx>
        <c:axId val="52041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08504"/>
        <c:crosses val="autoZero"/>
        <c:auto val="1"/>
        <c:lblAlgn val="ctr"/>
        <c:lblOffset val="100"/>
        <c:noMultiLvlLbl val="0"/>
      </c:catAx>
      <c:valAx>
        <c:axId val="51690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1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507059</xdr:colOff>
      <xdr:row>12</xdr:row>
      <xdr:rowOff>132566</xdr:rowOff>
    </xdr:from>
    <xdr:to>
      <xdr:col>16</xdr:col>
      <xdr:colOff>9878</xdr:colOff>
      <xdr:row>25</xdr:row>
      <xdr:rowOff>170666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3CB3D-0840-5F1E-A2E1-AD1250178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44450</xdr:colOff>
      <xdr:row>12</xdr:row>
      <xdr:rowOff>127000</xdr:rowOff>
    </xdr:from>
    <xdr:to>
      <xdr:col>5</xdr:col>
      <xdr:colOff>139700</xdr:colOff>
      <xdr:row>24</xdr:row>
      <xdr:rowOff>82550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D4A23D7-8919-C5BF-781D-2CA548621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302841</xdr:colOff>
      <xdr:row>12</xdr:row>
      <xdr:rowOff>110929</xdr:rowOff>
    </xdr:from>
    <xdr:to>
      <xdr:col>10</xdr:col>
      <xdr:colOff>239340</xdr:colOff>
      <xdr:row>25</xdr:row>
      <xdr:rowOff>174429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CA36034-EA46-1875-A80A-77F6CDCA0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311150</xdr:colOff>
      <xdr:row>0</xdr:row>
      <xdr:rowOff>38100</xdr:rowOff>
    </xdr:from>
    <xdr:to>
      <xdr:col>11</xdr:col>
      <xdr:colOff>114300</xdr:colOff>
      <xdr:row>12</xdr:row>
      <xdr:rowOff>57150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31EB55B3-9EF0-B0B3-3162-EEEEE24B0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</xdr:colOff>
      <xdr:row>0</xdr:row>
      <xdr:rowOff>31750</xdr:rowOff>
    </xdr:from>
    <xdr:to>
      <xdr:col>5</xdr:col>
      <xdr:colOff>127000</xdr:colOff>
      <xdr:row>12</xdr:row>
      <xdr:rowOff>57150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D8C8E898-FA3C-A7F5-6429-0A8D68885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40.737156828705" createdVersion="8" refreshedVersion="8" minRefreshableVersion="3" recordCount="100" xr:uid="{6559B7A9-7F34-4042-8F26-AD2A26AFB87F}">
  <cacheSource type="worksheet">
    <worksheetSource name="Table1"/>
  </cacheSource>
  <cacheFields count="10">
    <cacheField name="Hospital Name" numFmtId="0">
      <sharedItems count="10">
        <s v="Wellness Clinic"/>
        <s v="Fortis Care"/>
        <s v="Heritage Hospital"/>
        <s v="City Hospital"/>
        <s v="Global Medicare"/>
        <s v="Apollo Health"/>
        <s v="Green Valley Hospital"/>
        <s v="Healing Touch"/>
        <s v="Sunrise Medical"/>
        <s v="Metro Hospital"/>
      </sharedItems>
    </cacheField>
    <cacheField name="Location" numFmtId="0">
      <sharedItems count="10">
        <s v="Chennai"/>
        <s v="Pune"/>
        <s v="Ahmedabad"/>
        <s v="Hyderabad"/>
        <s v="Kolkata"/>
        <s v="Jaipur"/>
        <s v="Mumbai"/>
        <s v="Lucknow"/>
        <s v="Delhi"/>
        <s v="Bangalore"/>
      </sharedItems>
    </cacheField>
    <cacheField name="Department" numFmtId="0">
      <sharedItems count="10">
        <s v="Orthopedics"/>
        <s v="ENT"/>
        <s v="Pediatrics"/>
        <s v="Urology"/>
        <s v="Gynecology"/>
        <s v="Oncology"/>
        <s v="General Medicine"/>
        <s v="Dermatology"/>
        <s v="Cardiology"/>
        <s v="Neurology"/>
      </sharedItems>
    </cacheField>
    <cacheField name="Doctors Count" numFmtId="0">
      <sharedItems containsSemiMixedTypes="0" containsString="0" containsNumber="1" containsInteger="1" minValue="5" maxValue="49"/>
    </cacheField>
    <cacheField name="Patients Count" numFmtId="0">
      <sharedItems containsSemiMixedTypes="0" containsString="0" containsNumber="1" containsInteger="1" minValue="20" maxValue="198"/>
    </cacheField>
    <cacheField name="Admission Date" numFmtId="14">
      <sharedItems containsSemiMixedTypes="0" containsNonDate="0" containsDate="1" containsString="0" minDate="2023-01-11T00:00:00" maxDate="2023-12-31T00:00:00"/>
    </cacheField>
    <cacheField name="Discharge Date" numFmtId="14">
      <sharedItems containsSemiMixedTypes="0" containsNonDate="0" containsDate="1" containsString="0" minDate="2023-01-25T00:00:00" maxDate="2024-01-14T00:00:00"/>
    </cacheField>
    <cacheField name="Stay Days " numFmtId="0">
      <sharedItems containsSemiMixedTypes="0" containsString="0" containsNumber="1" containsInteger="1" minValue="1" maxValue="15"/>
    </cacheField>
    <cacheField name="Month " numFmtId="0">
      <sharedItems count="12">
        <s v="Dec"/>
        <s v="Oct"/>
        <s v="Apr"/>
        <s v="Feb"/>
        <s v="Aug"/>
        <s v="Jun"/>
        <s v="Sep"/>
        <s v="Mar"/>
        <s v="Nov"/>
        <s v="May"/>
        <s v="Jul"/>
        <s v="Jan"/>
      </sharedItems>
    </cacheField>
    <cacheField name="Medical Expenses" numFmtId="0">
      <sharedItems containsSemiMixedTypes="0" containsString="0" containsNumber="1" minValue="2854.22" maxValue="49955.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n v="47"/>
    <n v="182"/>
    <d v="2023-12-13T00:00:00"/>
    <d v="2023-12-14T00:00:00"/>
    <n v="1"/>
    <x v="0"/>
    <n v="31364.880000000001"/>
  </r>
  <r>
    <x v="1"/>
    <x v="1"/>
    <x v="1"/>
    <n v="15"/>
    <n v="51"/>
    <d v="2023-12-29T00:00:00"/>
    <d v="2024-01-09T00:00:00"/>
    <n v="11"/>
    <x v="0"/>
    <n v="47280.19"/>
  </r>
  <r>
    <x v="0"/>
    <x v="2"/>
    <x v="2"/>
    <n v="20"/>
    <n v="120"/>
    <d v="2023-10-07T00:00:00"/>
    <d v="2023-10-21T00:00:00"/>
    <n v="14"/>
    <x v="1"/>
    <n v="28574.720000000001"/>
  </r>
  <r>
    <x v="2"/>
    <x v="3"/>
    <x v="3"/>
    <n v="8"/>
    <n v="172"/>
    <d v="2023-04-29T00:00:00"/>
    <d v="2023-05-11T00:00:00"/>
    <n v="12"/>
    <x v="2"/>
    <n v="7000.83"/>
  </r>
  <r>
    <x v="3"/>
    <x v="4"/>
    <x v="4"/>
    <n v="35"/>
    <n v="76"/>
    <d v="2023-02-10T00:00:00"/>
    <d v="2023-02-12T00:00:00"/>
    <n v="2"/>
    <x v="3"/>
    <n v="47210.46"/>
  </r>
  <r>
    <x v="2"/>
    <x v="3"/>
    <x v="5"/>
    <n v="11"/>
    <n v="76"/>
    <d v="2023-02-05T00:00:00"/>
    <d v="2023-02-17T00:00:00"/>
    <n v="12"/>
    <x v="3"/>
    <n v="18612.34"/>
  </r>
  <r>
    <x v="4"/>
    <x v="2"/>
    <x v="5"/>
    <n v="22"/>
    <n v="99"/>
    <d v="2023-08-01T00:00:00"/>
    <d v="2023-08-06T00:00:00"/>
    <n v="5"/>
    <x v="4"/>
    <n v="47808.55"/>
  </r>
  <r>
    <x v="5"/>
    <x v="5"/>
    <x v="6"/>
    <n v="37"/>
    <n v="173"/>
    <d v="2023-10-01T00:00:00"/>
    <d v="2023-10-12T00:00:00"/>
    <n v="11"/>
    <x v="1"/>
    <n v="12284.65"/>
  </r>
  <r>
    <x v="2"/>
    <x v="5"/>
    <x v="1"/>
    <n v="9"/>
    <n v="198"/>
    <d v="2023-06-12T00:00:00"/>
    <d v="2023-06-18T00:00:00"/>
    <n v="6"/>
    <x v="5"/>
    <n v="14650.23"/>
  </r>
  <r>
    <x v="6"/>
    <x v="1"/>
    <x v="2"/>
    <n v="30"/>
    <n v="107"/>
    <d v="2023-12-07T00:00:00"/>
    <d v="2023-12-08T00:00:00"/>
    <n v="1"/>
    <x v="0"/>
    <n v="30006.959999999999"/>
  </r>
  <r>
    <x v="7"/>
    <x v="6"/>
    <x v="7"/>
    <n v="39"/>
    <n v="70"/>
    <d v="2023-09-13T00:00:00"/>
    <d v="2023-09-15T00:00:00"/>
    <n v="2"/>
    <x v="6"/>
    <n v="13282.51"/>
  </r>
  <r>
    <x v="1"/>
    <x v="5"/>
    <x v="3"/>
    <n v="22"/>
    <n v="38"/>
    <d v="2023-03-12T00:00:00"/>
    <d v="2023-03-25T00:00:00"/>
    <n v="13"/>
    <x v="7"/>
    <n v="13481.9"/>
  </r>
  <r>
    <x v="3"/>
    <x v="7"/>
    <x v="8"/>
    <n v="32"/>
    <n v="67"/>
    <d v="2023-11-18T00:00:00"/>
    <d v="2023-11-24T00:00:00"/>
    <n v="6"/>
    <x v="8"/>
    <n v="36748.42"/>
  </r>
  <r>
    <x v="1"/>
    <x v="5"/>
    <x v="0"/>
    <n v="27"/>
    <n v="60"/>
    <d v="2023-09-18T00:00:00"/>
    <d v="2023-09-24T00:00:00"/>
    <n v="6"/>
    <x v="6"/>
    <n v="37056.51"/>
  </r>
  <r>
    <x v="8"/>
    <x v="2"/>
    <x v="4"/>
    <n v="48"/>
    <n v="37"/>
    <d v="2023-08-06T00:00:00"/>
    <d v="2023-08-11T00:00:00"/>
    <n v="5"/>
    <x v="4"/>
    <n v="15107.89"/>
  </r>
  <r>
    <x v="7"/>
    <x v="0"/>
    <x v="8"/>
    <n v="17"/>
    <n v="60"/>
    <d v="2023-06-27T00:00:00"/>
    <d v="2023-06-30T00:00:00"/>
    <n v="3"/>
    <x v="5"/>
    <n v="9348.5499999999993"/>
  </r>
  <r>
    <x v="6"/>
    <x v="0"/>
    <x v="2"/>
    <n v="40"/>
    <n v="96"/>
    <d v="2023-03-22T00:00:00"/>
    <d v="2023-03-28T00:00:00"/>
    <n v="6"/>
    <x v="7"/>
    <n v="48548.44"/>
  </r>
  <r>
    <x v="7"/>
    <x v="2"/>
    <x v="9"/>
    <n v="14"/>
    <n v="68"/>
    <d v="2023-11-11T00:00:00"/>
    <d v="2023-11-22T00:00:00"/>
    <n v="11"/>
    <x v="8"/>
    <n v="29942.75"/>
  </r>
  <r>
    <x v="5"/>
    <x v="8"/>
    <x v="3"/>
    <n v="41"/>
    <n v="111"/>
    <d v="2023-11-05T00:00:00"/>
    <d v="2023-11-08T00:00:00"/>
    <n v="3"/>
    <x v="8"/>
    <n v="43367.53"/>
  </r>
  <r>
    <x v="1"/>
    <x v="6"/>
    <x v="3"/>
    <n v="46"/>
    <n v="154"/>
    <d v="2023-02-14T00:00:00"/>
    <d v="2023-02-18T00:00:00"/>
    <n v="4"/>
    <x v="3"/>
    <n v="41367.1"/>
  </r>
  <r>
    <x v="9"/>
    <x v="9"/>
    <x v="7"/>
    <n v="7"/>
    <n v="68"/>
    <d v="2023-10-06T00:00:00"/>
    <d v="2023-10-07T00:00:00"/>
    <n v="1"/>
    <x v="1"/>
    <n v="30136.26"/>
  </r>
  <r>
    <x v="5"/>
    <x v="3"/>
    <x v="7"/>
    <n v="28"/>
    <n v="191"/>
    <d v="2023-04-08T00:00:00"/>
    <d v="2023-04-22T00:00:00"/>
    <n v="14"/>
    <x v="2"/>
    <n v="17698.490000000002"/>
  </r>
  <r>
    <x v="1"/>
    <x v="2"/>
    <x v="5"/>
    <n v="32"/>
    <n v="116"/>
    <d v="2023-10-28T00:00:00"/>
    <d v="2023-10-30T00:00:00"/>
    <n v="2"/>
    <x v="1"/>
    <n v="40799.019999999997"/>
  </r>
  <r>
    <x v="5"/>
    <x v="3"/>
    <x v="0"/>
    <n v="5"/>
    <n v="79"/>
    <d v="2023-03-25T00:00:00"/>
    <d v="2023-03-29T00:00:00"/>
    <n v="4"/>
    <x v="7"/>
    <n v="20952.509999999998"/>
  </r>
  <r>
    <x v="3"/>
    <x v="7"/>
    <x v="5"/>
    <n v="48"/>
    <n v="91"/>
    <d v="2023-02-24T00:00:00"/>
    <d v="2023-03-04T00:00:00"/>
    <n v="8"/>
    <x v="3"/>
    <n v="10882.4"/>
  </r>
  <r>
    <x v="5"/>
    <x v="1"/>
    <x v="1"/>
    <n v="9"/>
    <n v="59"/>
    <d v="2023-11-09T00:00:00"/>
    <d v="2023-11-16T00:00:00"/>
    <n v="7"/>
    <x v="8"/>
    <n v="25177.79"/>
  </r>
  <r>
    <x v="5"/>
    <x v="7"/>
    <x v="1"/>
    <n v="9"/>
    <n v="171"/>
    <d v="2023-04-06T00:00:00"/>
    <d v="2023-04-21T00:00:00"/>
    <n v="15"/>
    <x v="2"/>
    <n v="21666.78"/>
  </r>
  <r>
    <x v="5"/>
    <x v="7"/>
    <x v="7"/>
    <n v="20"/>
    <n v="39"/>
    <d v="2023-05-05T00:00:00"/>
    <d v="2023-05-10T00:00:00"/>
    <n v="5"/>
    <x v="9"/>
    <n v="37856.699999999997"/>
  </r>
  <r>
    <x v="7"/>
    <x v="1"/>
    <x v="8"/>
    <n v="46"/>
    <n v="55"/>
    <d v="2023-09-25T00:00:00"/>
    <d v="2023-09-29T00:00:00"/>
    <n v="4"/>
    <x v="6"/>
    <n v="25298.5"/>
  </r>
  <r>
    <x v="3"/>
    <x v="3"/>
    <x v="7"/>
    <n v="7"/>
    <n v="88"/>
    <d v="2023-05-12T00:00:00"/>
    <d v="2023-05-21T00:00:00"/>
    <n v="9"/>
    <x v="9"/>
    <n v="28558.23"/>
  </r>
  <r>
    <x v="4"/>
    <x v="0"/>
    <x v="7"/>
    <n v="36"/>
    <n v="69"/>
    <d v="2023-09-19T00:00:00"/>
    <d v="2023-09-20T00:00:00"/>
    <n v="1"/>
    <x v="6"/>
    <n v="44452.26"/>
  </r>
  <r>
    <x v="7"/>
    <x v="6"/>
    <x v="9"/>
    <n v="20"/>
    <n v="94"/>
    <d v="2023-08-21T00:00:00"/>
    <d v="2023-08-28T00:00:00"/>
    <n v="7"/>
    <x v="4"/>
    <n v="49955.41"/>
  </r>
  <r>
    <x v="6"/>
    <x v="5"/>
    <x v="7"/>
    <n v="38"/>
    <n v="139"/>
    <d v="2023-07-01T00:00:00"/>
    <d v="2023-07-15T00:00:00"/>
    <n v="14"/>
    <x v="10"/>
    <n v="14118.62"/>
  </r>
  <r>
    <x v="4"/>
    <x v="5"/>
    <x v="3"/>
    <n v="38"/>
    <n v="62"/>
    <d v="2023-06-07T00:00:00"/>
    <d v="2023-06-17T00:00:00"/>
    <n v="10"/>
    <x v="5"/>
    <n v="22074.89"/>
  </r>
  <r>
    <x v="4"/>
    <x v="4"/>
    <x v="0"/>
    <n v="22"/>
    <n v="133"/>
    <d v="2023-02-13T00:00:00"/>
    <d v="2023-02-28T00:00:00"/>
    <n v="15"/>
    <x v="3"/>
    <n v="18795.689999999999"/>
  </r>
  <r>
    <x v="0"/>
    <x v="5"/>
    <x v="9"/>
    <n v="47"/>
    <n v="84"/>
    <d v="2023-01-20T00:00:00"/>
    <d v="2023-01-26T00:00:00"/>
    <n v="6"/>
    <x v="11"/>
    <n v="26646.52"/>
  </r>
  <r>
    <x v="1"/>
    <x v="5"/>
    <x v="5"/>
    <n v="15"/>
    <n v="40"/>
    <d v="2023-10-23T00:00:00"/>
    <d v="2023-10-26T00:00:00"/>
    <n v="3"/>
    <x v="1"/>
    <n v="37057.29"/>
  </r>
  <r>
    <x v="7"/>
    <x v="8"/>
    <x v="6"/>
    <n v="46"/>
    <n v="23"/>
    <d v="2023-05-27T00:00:00"/>
    <d v="2023-05-29T00:00:00"/>
    <n v="2"/>
    <x v="9"/>
    <n v="40771.839999999997"/>
  </r>
  <r>
    <x v="3"/>
    <x v="4"/>
    <x v="3"/>
    <n v="6"/>
    <n v="166"/>
    <d v="2023-12-16T00:00:00"/>
    <d v="2023-12-25T00:00:00"/>
    <n v="9"/>
    <x v="0"/>
    <n v="40731.29"/>
  </r>
  <r>
    <x v="0"/>
    <x v="7"/>
    <x v="3"/>
    <n v="37"/>
    <n v="85"/>
    <d v="2023-06-09T00:00:00"/>
    <d v="2023-06-16T00:00:00"/>
    <n v="7"/>
    <x v="5"/>
    <n v="4872.04"/>
  </r>
  <r>
    <x v="9"/>
    <x v="7"/>
    <x v="9"/>
    <n v="22"/>
    <n v="167"/>
    <d v="2023-12-29T00:00:00"/>
    <d v="2024-01-10T00:00:00"/>
    <n v="12"/>
    <x v="0"/>
    <n v="44531.22"/>
  </r>
  <r>
    <x v="5"/>
    <x v="0"/>
    <x v="1"/>
    <n v="8"/>
    <n v="61"/>
    <d v="2023-09-10T00:00:00"/>
    <d v="2023-09-15T00:00:00"/>
    <n v="5"/>
    <x v="6"/>
    <n v="42769.14"/>
  </r>
  <r>
    <x v="1"/>
    <x v="9"/>
    <x v="4"/>
    <n v="30"/>
    <n v="69"/>
    <d v="2023-11-13T00:00:00"/>
    <d v="2023-11-26T00:00:00"/>
    <n v="13"/>
    <x v="8"/>
    <n v="14701.02"/>
  </r>
  <r>
    <x v="3"/>
    <x v="5"/>
    <x v="4"/>
    <n v="11"/>
    <n v="22"/>
    <d v="2023-05-15T00:00:00"/>
    <d v="2023-05-18T00:00:00"/>
    <n v="3"/>
    <x v="9"/>
    <n v="48466.080000000002"/>
  </r>
  <r>
    <x v="8"/>
    <x v="9"/>
    <x v="1"/>
    <n v="37"/>
    <n v="26"/>
    <d v="2023-07-10T00:00:00"/>
    <d v="2023-07-24T00:00:00"/>
    <n v="14"/>
    <x v="10"/>
    <n v="25367.78"/>
  </r>
  <r>
    <x v="6"/>
    <x v="2"/>
    <x v="7"/>
    <n v="15"/>
    <n v="112"/>
    <d v="2023-03-26T00:00:00"/>
    <d v="2023-03-28T00:00:00"/>
    <n v="2"/>
    <x v="7"/>
    <n v="32628.67"/>
  </r>
  <r>
    <x v="2"/>
    <x v="7"/>
    <x v="3"/>
    <n v="30"/>
    <n v="161"/>
    <d v="2023-11-10T00:00:00"/>
    <d v="2023-11-25T00:00:00"/>
    <n v="15"/>
    <x v="8"/>
    <n v="10166.89"/>
  </r>
  <r>
    <x v="6"/>
    <x v="9"/>
    <x v="2"/>
    <n v="8"/>
    <n v="177"/>
    <d v="2023-08-13T00:00:00"/>
    <d v="2023-08-17T00:00:00"/>
    <n v="4"/>
    <x v="4"/>
    <n v="15913.48"/>
  </r>
  <r>
    <x v="7"/>
    <x v="3"/>
    <x v="2"/>
    <n v="30"/>
    <n v="158"/>
    <d v="2023-11-13T00:00:00"/>
    <d v="2023-11-22T00:00:00"/>
    <n v="9"/>
    <x v="8"/>
    <n v="16757.509999999998"/>
  </r>
  <r>
    <x v="0"/>
    <x v="2"/>
    <x v="9"/>
    <n v="27"/>
    <n v="65"/>
    <d v="2023-03-29T00:00:00"/>
    <d v="2023-04-08T00:00:00"/>
    <n v="10"/>
    <x v="7"/>
    <n v="35720.61"/>
  </r>
  <r>
    <x v="6"/>
    <x v="5"/>
    <x v="6"/>
    <n v="45"/>
    <n v="88"/>
    <d v="2023-06-21T00:00:00"/>
    <d v="2023-07-05T00:00:00"/>
    <n v="14"/>
    <x v="5"/>
    <n v="9438.26"/>
  </r>
  <r>
    <x v="0"/>
    <x v="7"/>
    <x v="8"/>
    <n v="32"/>
    <n v="51"/>
    <d v="2023-12-30T00:00:00"/>
    <d v="2024-01-12T00:00:00"/>
    <n v="13"/>
    <x v="0"/>
    <n v="27223.46"/>
  </r>
  <r>
    <x v="9"/>
    <x v="4"/>
    <x v="4"/>
    <n v="10"/>
    <n v="94"/>
    <d v="2023-01-18T00:00:00"/>
    <d v="2023-02-02T00:00:00"/>
    <n v="15"/>
    <x v="11"/>
    <n v="35570.839999999997"/>
  </r>
  <r>
    <x v="7"/>
    <x v="2"/>
    <x v="3"/>
    <n v="13"/>
    <n v="75"/>
    <d v="2023-02-07T00:00:00"/>
    <d v="2023-02-13T00:00:00"/>
    <n v="6"/>
    <x v="3"/>
    <n v="26027.37"/>
  </r>
  <r>
    <x v="8"/>
    <x v="6"/>
    <x v="3"/>
    <n v="23"/>
    <n v="109"/>
    <d v="2023-06-23T00:00:00"/>
    <d v="2023-07-01T00:00:00"/>
    <n v="8"/>
    <x v="5"/>
    <n v="36909.89"/>
  </r>
  <r>
    <x v="1"/>
    <x v="1"/>
    <x v="5"/>
    <n v="41"/>
    <n v="47"/>
    <d v="2023-03-25T00:00:00"/>
    <d v="2023-03-29T00:00:00"/>
    <n v="4"/>
    <x v="7"/>
    <n v="8519.11"/>
  </r>
  <r>
    <x v="9"/>
    <x v="0"/>
    <x v="2"/>
    <n v="9"/>
    <n v="134"/>
    <d v="2023-05-17T00:00:00"/>
    <d v="2023-05-31T00:00:00"/>
    <n v="14"/>
    <x v="9"/>
    <n v="48873.72"/>
  </r>
  <r>
    <x v="9"/>
    <x v="3"/>
    <x v="6"/>
    <n v="49"/>
    <n v="42"/>
    <d v="2023-12-28T00:00:00"/>
    <d v="2024-01-07T00:00:00"/>
    <n v="10"/>
    <x v="0"/>
    <n v="31342.58"/>
  </r>
  <r>
    <x v="4"/>
    <x v="2"/>
    <x v="0"/>
    <n v="48"/>
    <n v="138"/>
    <d v="2023-01-18T00:00:00"/>
    <d v="2023-01-26T00:00:00"/>
    <n v="8"/>
    <x v="11"/>
    <n v="46741.91"/>
  </r>
  <r>
    <x v="4"/>
    <x v="9"/>
    <x v="1"/>
    <n v="42"/>
    <n v="58"/>
    <d v="2023-09-18T00:00:00"/>
    <d v="2023-09-19T00:00:00"/>
    <n v="1"/>
    <x v="6"/>
    <n v="26614.52"/>
  </r>
  <r>
    <x v="7"/>
    <x v="2"/>
    <x v="3"/>
    <n v="21"/>
    <n v="50"/>
    <d v="2023-06-22T00:00:00"/>
    <d v="2023-06-27T00:00:00"/>
    <n v="5"/>
    <x v="5"/>
    <n v="10978.18"/>
  </r>
  <r>
    <x v="4"/>
    <x v="8"/>
    <x v="1"/>
    <n v="21"/>
    <n v="66"/>
    <d v="2023-12-29T00:00:00"/>
    <d v="2024-01-13T00:00:00"/>
    <n v="15"/>
    <x v="0"/>
    <n v="31175.27"/>
  </r>
  <r>
    <x v="8"/>
    <x v="1"/>
    <x v="0"/>
    <n v="31"/>
    <n v="122"/>
    <d v="2023-11-10T00:00:00"/>
    <d v="2023-11-13T00:00:00"/>
    <n v="3"/>
    <x v="8"/>
    <n v="44290.86"/>
  </r>
  <r>
    <x v="2"/>
    <x v="9"/>
    <x v="1"/>
    <n v="26"/>
    <n v="85"/>
    <d v="2023-09-25T00:00:00"/>
    <d v="2023-09-29T00:00:00"/>
    <n v="4"/>
    <x v="6"/>
    <n v="7502.64"/>
  </r>
  <r>
    <x v="9"/>
    <x v="7"/>
    <x v="1"/>
    <n v="31"/>
    <n v="75"/>
    <d v="2023-06-06T00:00:00"/>
    <d v="2023-06-11T00:00:00"/>
    <n v="5"/>
    <x v="5"/>
    <n v="7121.37"/>
  </r>
  <r>
    <x v="2"/>
    <x v="5"/>
    <x v="3"/>
    <n v="39"/>
    <n v="70"/>
    <d v="2023-07-28T00:00:00"/>
    <d v="2023-08-04T00:00:00"/>
    <n v="7"/>
    <x v="10"/>
    <n v="48241"/>
  </r>
  <r>
    <x v="3"/>
    <x v="2"/>
    <x v="9"/>
    <n v="14"/>
    <n v="91"/>
    <d v="2023-07-20T00:00:00"/>
    <d v="2023-08-03T00:00:00"/>
    <n v="14"/>
    <x v="10"/>
    <n v="33446.239999999998"/>
  </r>
  <r>
    <x v="1"/>
    <x v="9"/>
    <x v="1"/>
    <n v="14"/>
    <n v="62"/>
    <d v="2023-12-17T00:00:00"/>
    <d v="2023-12-30T00:00:00"/>
    <n v="13"/>
    <x v="0"/>
    <n v="13590.65"/>
  </r>
  <r>
    <x v="3"/>
    <x v="0"/>
    <x v="4"/>
    <n v="28"/>
    <n v="84"/>
    <d v="2023-02-08T00:00:00"/>
    <d v="2023-02-22T00:00:00"/>
    <n v="14"/>
    <x v="3"/>
    <n v="20849.310000000001"/>
  </r>
  <r>
    <x v="6"/>
    <x v="3"/>
    <x v="9"/>
    <n v="35"/>
    <n v="57"/>
    <d v="2023-08-09T00:00:00"/>
    <d v="2023-08-19T00:00:00"/>
    <n v="10"/>
    <x v="4"/>
    <n v="4388.33"/>
  </r>
  <r>
    <x v="7"/>
    <x v="1"/>
    <x v="2"/>
    <n v="5"/>
    <n v="41"/>
    <d v="2023-03-31T00:00:00"/>
    <d v="2023-04-05T00:00:00"/>
    <n v="5"/>
    <x v="7"/>
    <n v="23916.63"/>
  </r>
  <r>
    <x v="2"/>
    <x v="9"/>
    <x v="3"/>
    <n v="29"/>
    <n v="54"/>
    <d v="2023-10-22T00:00:00"/>
    <d v="2023-11-05T00:00:00"/>
    <n v="14"/>
    <x v="1"/>
    <n v="5084.1099999999997"/>
  </r>
  <r>
    <x v="5"/>
    <x v="2"/>
    <x v="9"/>
    <n v="28"/>
    <n v="102"/>
    <d v="2023-12-13T00:00:00"/>
    <d v="2023-12-20T00:00:00"/>
    <n v="7"/>
    <x v="0"/>
    <n v="23328.9"/>
  </r>
  <r>
    <x v="3"/>
    <x v="8"/>
    <x v="2"/>
    <n v="41"/>
    <n v="27"/>
    <d v="2023-02-20T00:00:00"/>
    <d v="2023-03-06T00:00:00"/>
    <n v="14"/>
    <x v="3"/>
    <n v="33417.279999999999"/>
  </r>
  <r>
    <x v="7"/>
    <x v="5"/>
    <x v="8"/>
    <n v="6"/>
    <n v="110"/>
    <d v="2023-09-21T00:00:00"/>
    <d v="2023-10-06T00:00:00"/>
    <n v="15"/>
    <x v="6"/>
    <n v="36545.43"/>
  </r>
  <r>
    <x v="8"/>
    <x v="5"/>
    <x v="5"/>
    <n v="19"/>
    <n v="31"/>
    <d v="2023-07-01T00:00:00"/>
    <d v="2023-07-15T00:00:00"/>
    <n v="14"/>
    <x v="10"/>
    <n v="43687.01"/>
  </r>
  <r>
    <x v="8"/>
    <x v="4"/>
    <x v="8"/>
    <n v="7"/>
    <n v="50"/>
    <d v="2023-08-02T00:00:00"/>
    <d v="2023-08-07T00:00:00"/>
    <n v="5"/>
    <x v="4"/>
    <n v="13902.24"/>
  </r>
  <r>
    <x v="5"/>
    <x v="6"/>
    <x v="9"/>
    <n v="32"/>
    <n v="56"/>
    <d v="2023-01-11T00:00:00"/>
    <d v="2023-01-26T00:00:00"/>
    <n v="15"/>
    <x v="11"/>
    <n v="22456.61"/>
  </r>
  <r>
    <x v="9"/>
    <x v="0"/>
    <x v="3"/>
    <n v="28"/>
    <n v="154"/>
    <d v="2023-09-04T00:00:00"/>
    <d v="2023-09-19T00:00:00"/>
    <n v="15"/>
    <x v="6"/>
    <n v="23012.639999999999"/>
  </r>
  <r>
    <x v="2"/>
    <x v="7"/>
    <x v="9"/>
    <n v="44"/>
    <n v="194"/>
    <d v="2023-08-18T00:00:00"/>
    <d v="2023-08-27T00:00:00"/>
    <n v="9"/>
    <x v="4"/>
    <n v="33963.65"/>
  </r>
  <r>
    <x v="5"/>
    <x v="3"/>
    <x v="4"/>
    <n v="40"/>
    <n v="150"/>
    <d v="2023-05-01T00:00:00"/>
    <d v="2023-05-02T00:00:00"/>
    <n v="1"/>
    <x v="9"/>
    <n v="9775.99"/>
  </r>
  <r>
    <x v="9"/>
    <x v="2"/>
    <x v="3"/>
    <n v="38"/>
    <n v="108"/>
    <d v="2023-04-08T00:00:00"/>
    <d v="2023-04-20T00:00:00"/>
    <n v="12"/>
    <x v="2"/>
    <n v="17211.57"/>
  </r>
  <r>
    <x v="4"/>
    <x v="2"/>
    <x v="3"/>
    <n v="17"/>
    <n v="29"/>
    <d v="2023-01-16T00:00:00"/>
    <d v="2023-01-25T00:00:00"/>
    <n v="9"/>
    <x v="11"/>
    <n v="17999.48"/>
  </r>
  <r>
    <x v="9"/>
    <x v="3"/>
    <x v="7"/>
    <n v="43"/>
    <n v="96"/>
    <d v="2023-02-04T00:00:00"/>
    <d v="2023-02-05T00:00:00"/>
    <n v="1"/>
    <x v="3"/>
    <n v="42883.43"/>
  </r>
  <r>
    <x v="4"/>
    <x v="8"/>
    <x v="8"/>
    <n v="21"/>
    <n v="151"/>
    <d v="2023-06-07T00:00:00"/>
    <d v="2023-06-09T00:00:00"/>
    <n v="2"/>
    <x v="5"/>
    <n v="2854.22"/>
  </r>
  <r>
    <x v="8"/>
    <x v="5"/>
    <x v="9"/>
    <n v="40"/>
    <n v="88"/>
    <d v="2023-03-22T00:00:00"/>
    <d v="2023-03-25T00:00:00"/>
    <n v="3"/>
    <x v="7"/>
    <n v="8333.48"/>
  </r>
  <r>
    <x v="3"/>
    <x v="2"/>
    <x v="3"/>
    <n v="25"/>
    <n v="131"/>
    <d v="2023-06-30T00:00:00"/>
    <d v="2023-07-02T00:00:00"/>
    <n v="2"/>
    <x v="5"/>
    <n v="47678.73"/>
  </r>
  <r>
    <x v="1"/>
    <x v="2"/>
    <x v="7"/>
    <n v="9"/>
    <n v="106"/>
    <d v="2023-11-14T00:00:00"/>
    <d v="2023-11-21T00:00:00"/>
    <n v="7"/>
    <x v="8"/>
    <n v="44526.27"/>
  </r>
  <r>
    <x v="7"/>
    <x v="1"/>
    <x v="6"/>
    <n v="48"/>
    <n v="25"/>
    <d v="2023-10-16T00:00:00"/>
    <d v="2023-10-28T00:00:00"/>
    <n v="12"/>
    <x v="1"/>
    <n v="4514.63"/>
  </r>
  <r>
    <x v="9"/>
    <x v="2"/>
    <x v="4"/>
    <n v="23"/>
    <n v="20"/>
    <d v="2023-04-17T00:00:00"/>
    <d v="2023-04-22T00:00:00"/>
    <n v="5"/>
    <x v="2"/>
    <n v="25418.26"/>
  </r>
  <r>
    <x v="4"/>
    <x v="1"/>
    <x v="0"/>
    <n v="6"/>
    <n v="48"/>
    <d v="2023-07-11T00:00:00"/>
    <d v="2023-07-24T00:00:00"/>
    <n v="13"/>
    <x v="10"/>
    <n v="46666.48"/>
  </r>
  <r>
    <x v="1"/>
    <x v="3"/>
    <x v="1"/>
    <n v="19"/>
    <n v="152"/>
    <d v="2023-09-18T00:00:00"/>
    <d v="2023-09-19T00:00:00"/>
    <n v="1"/>
    <x v="6"/>
    <n v="39298.300000000003"/>
  </r>
  <r>
    <x v="8"/>
    <x v="8"/>
    <x v="6"/>
    <n v="24"/>
    <n v="43"/>
    <d v="2023-09-29T00:00:00"/>
    <d v="2023-10-01T00:00:00"/>
    <n v="2"/>
    <x v="6"/>
    <n v="45451.78"/>
  </r>
  <r>
    <x v="4"/>
    <x v="5"/>
    <x v="2"/>
    <n v="43"/>
    <n v="133"/>
    <d v="2023-01-27T00:00:00"/>
    <d v="2023-02-11T00:00:00"/>
    <n v="15"/>
    <x v="11"/>
    <n v="24556.18"/>
  </r>
  <r>
    <x v="6"/>
    <x v="4"/>
    <x v="5"/>
    <n v="20"/>
    <n v="77"/>
    <d v="2023-03-07T00:00:00"/>
    <d v="2023-03-18T00:00:00"/>
    <n v="11"/>
    <x v="7"/>
    <n v="7146.07"/>
  </r>
  <r>
    <x v="0"/>
    <x v="9"/>
    <x v="4"/>
    <n v="28"/>
    <n v="126"/>
    <d v="2023-11-29T00:00:00"/>
    <d v="2023-12-10T00:00:00"/>
    <n v="11"/>
    <x v="8"/>
    <n v="21065.59"/>
  </r>
  <r>
    <x v="2"/>
    <x v="5"/>
    <x v="6"/>
    <n v="26"/>
    <n v="169"/>
    <d v="2023-02-18T00:00:00"/>
    <d v="2023-02-19T00:00:00"/>
    <n v="1"/>
    <x v="3"/>
    <n v="41677.339999999997"/>
  </r>
  <r>
    <x v="7"/>
    <x v="9"/>
    <x v="5"/>
    <n v="40"/>
    <n v="193"/>
    <d v="2023-11-01T00:00:00"/>
    <d v="2023-11-15T00:00:00"/>
    <n v="14"/>
    <x v="8"/>
    <n v="47625.7"/>
  </r>
  <r>
    <x v="9"/>
    <x v="7"/>
    <x v="9"/>
    <n v="42"/>
    <n v="163"/>
    <d v="2023-05-19T00:00:00"/>
    <d v="2023-05-26T00:00:00"/>
    <n v="7"/>
    <x v="9"/>
    <n v="8684.16"/>
  </r>
  <r>
    <x v="7"/>
    <x v="9"/>
    <x v="3"/>
    <n v="14"/>
    <n v="37"/>
    <d v="2023-12-09T00:00:00"/>
    <d v="2023-12-15T00:00:00"/>
    <n v="6"/>
    <x v="0"/>
    <n v="17213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5BD47-84BE-4AF1-8BB6-A2296EFC8588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10">
    <pivotField showAll="0"/>
    <pivotField showAll="0"/>
    <pivotField axis="axisRow" showAll="0">
      <items count="11">
        <item x="8"/>
        <item x="7"/>
        <item x="1"/>
        <item x="6"/>
        <item x="4"/>
        <item x="9"/>
        <item x="5"/>
        <item x="0"/>
        <item x="2"/>
        <item x="3"/>
        <item t="default"/>
      </items>
    </pivotField>
    <pivotField showAll="0"/>
    <pivotField dataField="1" showAll="0"/>
    <pivotField numFmtId="14" showAll="0"/>
    <pivotField numFmtId="14"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atients Count" fld="4" baseField="0" baseItem="0"/>
  </dataField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47E43-9433-4568-BE1E-F0B4FFB2B68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4" firstHeaderRow="1" firstDataRow="1" firstDataCol="1"/>
  <pivotFields count="10">
    <pivotField showAll="0"/>
    <pivotField axis="axisRow" showAll="0">
      <items count="11">
        <item x="2"/>
        <item x="9"/>
        <item x="0"/>
        <item x="8"/>
        <item x="3"/>
        <item x="5"/>
        <item x="4"/>
        <item x="7"/>
        <item x="6"/>
        <item x="1"/>
        <item t="default"/>
      </items>
    </pivotField>
    <pivotField showAll="0"/>
    <pivotField showAll="0"/>
    <pivotField dataField="1" showAll="0"/>
    <pivotField numFmtId="14" showAll="0"/>
    <pivotField numFmtId="14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atients Count" fld="4" baseField="0" baseItem="0"/>
  </dataField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143A0-D23B-4A94-B367-A0E85A23056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10">
    <pivotField axis="axisRow" showAll="0">
      <items count="11">
        <item x="5"/>
        <item x="3"/>
        <item x="1"/>
        <item x="4"/>
        <item x="6"/>
        <item x="7"/>
        <item x="2"/>
        <item x="9"/>
        <item x="8"/>
        <item x="0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Medical Expenses" fld="9" baseField="0" baseItem="0"/>
  </dataFields>
  <chartFormats count="11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51E40-8FA7-47F3-99B1-8324DD135B0F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0"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13">
        <item x="11"/>
        <item x="3"/>
        <item x="7"/>
        <item x="2"/>
        <item x="9"/>
        <item x="5"/>
        <item x="10"/>
        <item x="4"/>
        <item x="6"/>
        <item x="1"/>
        <item x="8"/>
        <item x="0"/>
        <item t="default"/>
      </items>
    </pivotField>
    <pivotField dataField="1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edical Expenses" fld="9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0F83C-97CF-4FD9-A8D2-0C7D02B44305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10">
    <pivotField showAll="0"/>
    <pivotField showAll="0"/>
    <pivotField axis="axisRow" showAll="0">
      <items count="11">
        <item x="8"/>
        <item x="7"/>
        <item x="1"/>
        <item x="6"/>
        <item x="4"/>
        <item x="9"/>
        <item x="5"/>
        <item x="0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ay Days " fld="7" baseField="0" baseItem="0"/>
  </dataFields>
  <chartFormats count="11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7680EF-A122-4940-9718-6D58BD74B39C}" name="Table1" displayName="Table1" ref="A1:J101" totalsRowShown="0">
  <autoFilter ref="A1:J101" xr:uid="{877680EF-A122-4940-9718-6D58BD74B39C}"/>
  <tableColumns count="10">
    <tableColumn id="1" xr3:uid="{7170E13F-B4AD-4E97-A7DA-944863B22434}" name="Hospital Name"/>
    <tableColumn id="2" xr3:uid="{C1FA823D-4D64-4DAA-9A61-C156BEEC5296}" name="Location"/>
    <tableColumn id="3" xr3:uid="{0DBE47DC-24F5-45F7-8181-A249A541A660}" name="Department"/>
    <tableColumn id="4" xr3:uid="{3AB412EF-EAFB-4030-8F7E-280C75D38E89}" name="Doctors Count"/>
    <tableColumn id="5" xr3:uid="{A16C8F56-6431-43AB-AE20-A777D7961B05}" name="Patients Count"/>
    <tableColumn id="6" xr3:uid="{6CFA76A5-BCAA-4110-9FF5-43FA92C27F27}" name="Admission Date" dataDxfId="3"/>
    <tableColumn id="7" xr3:uid="{DC74B950-A7F0-4A0B-9162-B2A279F5C82D}" name="Discharge Date" dataDxfId="2"/>
    <tableColumn id="9" xr3:uid="{C27B6028-527E-45BC-82C6-95DCB86A9BE5}" name="Stay Days " dataDxfId="1">
      <calculatedColumnFormula>G2-F2</calculatedColumnFormula>
    </tableColumn>
    <tableColumn id="10" xr3:uid="{BFB3D612-042C-48C0-B821-3AEC2539D743}" name="Month " dataDxfId="0">
      <calculatedColumnFormula>TEXT(F2,"mmm")</calculatedColumnFormula>
    </tableColumn>
    <tableColumn id="8" xr3:uid="{48CACCC3-7CDF-461B-9124-666A9B5D0E2B}" name="Medical Expen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8526-97CE-47DD-9D10-AB3098487BF4}">
  <dimension ref="A1:J101"/>
  <sheetViews>
    <sheetView topLeftCell="A2" workbookViewId="0">
      <selection sqref="A1:J101"/>
    </sheetView>
  </sheetViews>
  <sheetFormatPr defaultRowHeight="14.5" x14ac:dyDescent="0.35"/>
  <cols>
    <col min="1" max="1" width="18.7265625" bestFit="1" customWidth="1"/>
    <col min="2" max="2" width="11" bestFit="1" customWidth="1"/>
    <col min="3" max="3" width="15.54296875" bestFit="1" customWidth="1"/>
    <col min="4" max="4" width="14.90625" customWidth="1"/>
    <col min="5" max="5" width="15.26953125" customWidth="1"/>
    <col min="6" max="6" width="15.90625" customWidth="1"/>
    <col min="7" max="7" width="15.36328125" customWidth="1"/>
    <col min="8" max="8" width="15.36328125" style="2" customWidth="1"/>
    <col min="9" max="9" width="15.36328125" style="3" customWidth="1"/>
    <col min="10" max="10" width="17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38</v>
      </c>
      <c r="I1" s="3" t="s">
        <v>39</v>
      </c>
      <c r="J1" t="s">
        <v>7</v>
      </c>
    </row>
    <row r="2" spans="1:10" x14ac:dyDescent="0.35">
      <c r="A2" t="s">
        <v>8</v>
      </c>
      <c r="B2" t="s">
        <v>9</v>
      </c>
      <c r="C2" t="s">
        <v>10</v>
      </c>
      <c r="D2">
        <v>47</v>
      </c>
      <c r="E2">
        <v>182</v>
      </c>
      <c r="F2" s="1">
        <v>45273</v>
      </c>
      <c r="G2" s="1">
        <v>45274</v>
      </c>
      <c r="H2" s="2">
        <f t="shared" ref="H2:H33" si="0">G2-F2</f>
        <v>1</v>
      </c>
      <c r="I2" s="3" t="str">
        <f t="shared" ref="I2:I33" si="1">TEXT(F2,"mmm")</f>
        <v>Dec</v>
      </c>
      <c r="J2">
        <v>31364.880000000001</v>
      </c>
    </row>
    <row r="3" spans="1:10" x14ac:dyDescent="0.35">
      <c r="A3" t="s">
        <v>11</v>
      </c>
      <c r="B3" t="s">
        <v>12</v>
      </c>
      <c r="C3" t="s">
        <v>13</v>
      </c>
      <c r="D3">
        <v>15</v>
      </c>
      <c r="E3">
        <v>51</v>
      </c>
      <c r="F3" s="1">
        <v>45289</v>
      </c>
      <c r="G3" s="1">
        <v>45300</v>
      </c>
      <c r="H3" s="2">
        <f t="shared" si="0"/>
        <v>11</v>
      </c>
      <c r="I3" s="3" t="str">
        <f t="shared" si="1"/>
        <v>Dec</v>
      </c>
      <c r="J3">
        <v>47280.19</v>
      </c>
    </row>
    <row r="4" spans="1:10" x14ac:dyDescent="0.35">
      <c r="A4" t="s">
        <v>8</v>
      </c>
      <c r="B4" t="s">
        <v>14</v>
      </c>
      <c r="C4" t="s">
        <v>15</v>
      </c>
      <c r="D4">
        <v>20</v>
      </c>
      <c r="E4">
        <v>120</v>
      </c>
      <c r="F4" s="1">
        <v>45206</v>
      </c>
      <c r="G4" s="1">
        <v>45220</v>
      </c>
      <c r="H4" s="2">
        <f t="shared" si="0"/>
        <v>14</v>
      </c>
      <c r="I4" s="3" t="str">
        <f t="shared" si="1"/>
        <v>Oct</v>
      </c>
      <c r="J4">
        <v>28574.720000000001</v>
      </c>
    </row>
    <row r="5" spans="1:10" x14ac:dyDescent="0.35">
      <c r="A5" t="s">
        <v>16</v>
      </c>
      <c r="B5" t="s">
        <v>17</v>
      </c>
      <c r="C5" t="s">
        <v>18</v>
      </c>
      <c r="D5">
        <v>8</v>
      </c>
      <c r="E5">
        <v>172</v>
      </c>
      <c r="F5" s="1">
        <v>45045</v>
      </c>
      <c r="G5" s="1">
        <v>45057</v>
      </c>
      <c r="H5" s="2">
        <f t="shared" si="0"/>
        <v>12</v>
      </c>
      <c r="I5" s="3" t="str">
        <f t="shared" si="1"/>
        <v>Apr</v>
      </c>
      <c r="J5">
        <v>7000.83</v>
      </c>
    </row>
    <row r="6" spans="1:10" x14ac:dyDescent="0.35">
      <c r="A6" t="s">
        <v>19</v>
      </c>
      <c r="B6" t="s">
        <v>20</v>
      </c>
      <c r="C6" t="s">
        <v>21</v>
      </c>
      <c r="D6">
        <v>35</v>
      </c>
      <c r="E6">
        <v>76</v>
      </c>
      <c r="F6" s="1">
        <v>44967</v>
      </c>
      <c r="G6" s="1">
        <v>44969</v>
      </c>
      <c r="H6" s="2">
        <f t="shared" si="0"/>
        <v>2</v>
      </c>
      <c r="I6" s="3" t="str">
        <f t="shared" si="1"/>
        <v>Feb</v>
      </c>
      <c r="J6">
        <v>47210.46</v>
      </c>
    </row>
    <row r="7" spans="1:10" x14ac:dyDescent="0.35">
      <c r="A7" t="s">
        <v>16</v>
      </c>
      <c r="B7" t="s">
        <v>17</v>
      </c>
      <c r="C7" t="s">
        <v>22</v>
      </c>
      <c r="D7">
        <v>11</v>
      </c>
      <c r="E7">
        <v>76</v>
      </c>
      <c r="F7" s="1">
        <v>44962</v>
      </c>
      <c r="G7" s="1">
        <v>44974</v>
      </c>
      <c r="H7" s="2">
        <f t="shared" si="0"/>
        <v>12</v>
      </c>
      <c r="I7" s="3" t="str">
        <f t="shared" si="1"/>
        <v>Feb</v>
      </c>
      <c r="J7">
        <v>18612.34</v>
      </c>
    </row>
    <row r="8" spans="1:10" x14ac:dyDescent="0.35">
      <c r="A8" t="s">
        <v>23</v>
      </c>
      <c r="B8" t="s">
        <v>14</v>
      </c>
      <c r="C8" t="s">
        <v>22</v>
      </c>
      <c r="D8">
        <v>22</v>
      </c>
      <c r="E8">
        <v>99</v>
      </c>
      <c r="F8" s="1">
        <v>45139</v>
      </c>
      <c r="G8" s="1">
        <v>45144</v>
      </c>
      <c r="H8" s="2">
        <f t="shared" si="0"/>
        <v>5</v>
      </c>
      <c r="I8" s="3" t="str">
        <f t="shared" si="1"/>
        <v>Aug</v>
      </c>
      <c r="J8">
        <v>47808.55</v>
      </c>
    </row>
    <row r="9" spans="1:10" x14ac:dyDescent="0.35">
      <c r="A9" t="s">
        <v>24</v>
      </c>
      <c r="B9" t="s">
        <v>25</v>
      </c>
      <c r="C9" t="s">
        <v>26</v>
      </c>
      <c r="D9">
        <v>37</v>
      </c>
      <c r="E9">
        <v>173</v>
      </c>
      <c r="F9" s="1">
        <v>45200</v>
      </c>
      <c r="G9" s="1">
        <v>45211</v>
      </c>
      <c r="H9" s="2">
        <f t="shared" si="0"/>
        <v>11</v>
      </c>
      <c r="I9" s="3" t="str">
        <f t="shared" si="1"/>
        <v>Oct</v>
      </c>
      <c r="J9">
        <v>12284.65</v>
      </c>
    </row>
    <row r="10" spans="1:10" x14ac:dyDescent="0.35">
      <c r="A10" t="s">
        <v>16</v>
      </c>
      <c r="B10" t="s">
        <v>25</v>
      </c>
      <c r="C10" t="s">
        <v>13</v>
      </c>
      <c r="D10">
        <v>9</v>
      </c>
      <c r="E10">
        <v>198</v>
      </c>
      <c r="F10" s="1">
        <v>45089</v>
      </c>
      <c r="G10" s="1">
        <v>45095</v>
      </c>
      <c r="H10" s="2">
        <f t="shared" si="0"/>
        <v>6</v>
      </c>
      <c r="I10" s="3" t="str">
        <f t="shared" si="1"/>
        <v>Jun</v>
      </c>
      <c r="J10">
        <v>14650.23</v>
      </c>
    </row>
    <row r="11" spans="1:10" x14ac:dyDescent="0.35">
      <c r="A11" t="s">
        <v>27</v>
      </c>
      <c r="B11" t="s">
        <v>12</v>
      </c>
      <c r="C11" t="s">
        <v>15</v>
      </c>
      <c r="D11">
        <v>30</v>
      </c>
      <c r="E11">
        <v>107</v>
      </c>
      <c r="F11" s="1">
        <v>45267</v>
      </c>
      <c r="G11" s="1">
        <v>45268</v>
      </c>
      <c r="H11" s="2">
        <f t="shared" si="0"/>
        <v>1</v>
      </c>
      <c r="I11" s="3" t="str">
        <f t="shared" si="1"/>
        <v>Dec</v>
      </c>
      <c r="J11">
        <v>30006.959999999999</v>
      </c>
    </row>
    <row r="12" spans="1:10" x14ac:dyDescent="0.35">
      <c r="A12" t="s">
        <v>28</v>
      </c>
      <c r="B12" t="s">
        <v>29</v>
      </c>
      <c r="C12" t="s">
        <v>30</v>
      </c>
      <c r="D12">
        <v>39</v>
      </c>
      <c r="E12">
        <v>70</v>
      </c>
      <c r="F12" s="1">
        <v>45182</v>
      </c>
      <c r="G12" s="1">
        <v>45184</v>
      </c>
      <c r="H12" s="2">
        <f t="shared" si="0"/>
        <v>2</v>
      </c>
      <c r="I12" s="3" t="str">
        <f t="shared" si="1"/>
        <v>Sep</v>
      </c>
      <c r="J12">
        <v>13282.51</v>
      </c>
    </row>
    <row r="13" spans="1:10" x14ac:dyDescent="0.35">
      <c r="A13" t="s">
        <v>11</v>
      </c>
      <c r="B13" t="s">
        <v>25</v>
      </c>
      <c r="C13" t="s">
        <v>18</v>
      </c>
      <c r="D13">
        <v>22</v>
      </c>
      <c r="E13">
        <v>38</v>
      </c>
      <c r="F13" s="1">
        <v>44997</v>
      </c>
      <c r="G13" s="1">
        <v>45010</v>
      </c>
      <c r="H13" s="2">
        <f t="shared" si="0"/>
        <v>13</v>
      </c>
      <c r="I13" s="3" t="str">
        <f t="shared" si="1"/>
        <v>Mar</v>
      </c>
      <c r="J13">
        <v>13481.9</v>
      </c>
    </row>
    <row r="14" spans="1:10" x14ac:dyDescent="0.35">
      <c r="A14" t="s">
        <v>19</v>
      </c>
      <c r="B14" t="s">
        <v>31</v>
      </c>
      <c r="C14" t="s">
        <v>32</v>
      </c>
      <c r="D14">
        <v>32</v>
      </c>
      <c r="E14">
        <v>67</v>
      </c>
      <c r="F14" s="1">
        <v>45248</v>
      </c>
      <c r="G14" s="1">
        <v>45254</v>
      </c>
      <c r="H14" s="2">
        <f t="shared" si="0"/>
        <v>6</v>
      </c>
      <c r="I14" s="3" t="str">
        <f t="shared" si="1"/>
        <v>Nov</v>
      </c>
      <c r="J14">
        <v>36748.42</v>
      </c>
    </row>
    <row r="15" spans="1:10" x14ac:dyDescent="0.35">
      <c r="A15" t="s">
        <v>11</v>
      </c>
      <c r="B15" t="s">
        <v>25</v>
      </c>
      <c r="C15" t="s">
        <v>10</v>
      </c>
      <c r="D15">
        <v>27</v>
      </c>
      <c r="E15">
        <v>60</v>
      </c>
      <c r="F15" s="1">
        <v>45187</v>
      </c>
      <c r="G15" s="1">
        <v>45193</v>
      </c>
      <c r="H15" s="2">
        <f t="shared" si="0"/>
        <v>6</v>
      </c>
      <c r="I15" s="3" t="str">
        <f t="shared" si="1"/>
        <v>Sep</v>
      </c>
      <c r="J15">
        <v>37056.51</v>
      </c>
    </row>
    <row r="16" spans="1:10" x14ac:dyDescent="0.35">
      <c r="A16" t="s">
        <v>33</v>
      </c>
      <c r="B16" t="s">
        <v>14</v>
      </c>
      <c r="C16" t="s">
        <v>21</v>
      </c>
      <c r="D16">
        <v>48</v>
      </c>
      <c r="E16">
        <v>37</v>
      </c>
      <c r="F16" s="1">
        <v>45144</v>
      </c>
      <c r="G16" s="1">
        <v>45149</v>
      </c>
      <c r="H16" s="2">
        <f t="shared" si="0"/>
        <v>5</v>
      </c>
      <c r="I16" s="3" t="str">
        <f t="shared" si="1"/>
        <v>Aug</v>
      </c>
      <c r="J16">
        <v>15107.89</v>
      </c>
    </row>
    <row r="17" spans="1:10" x14ac:dyDescent="0.35">
      <c r="A17" t="s">
        <v>28</v>
      </c>
      <c r="B17" t="s">
        <v>9</v>
      </c>
      <c r="C17" t="s">
        <v>32</v>
      </c>
      <c r="D17">
        <v>17</v>
      </c>
      <c r="E17">
        <v>60</v>
      </c>
      <c r="F17" s="1">
        <v>45104</v>
      </c>
      <c r="G17" s="1">
        <v>45107</v>
      </c>
      <c r="H17" s="2">
        <f t="shared" si="0"/>
        <v>3</v>
      </c>
      <c r="I17" s="3" t="str">
        <f t="shared" si="1"/>
        <v>Jun</v>
      </c>
      <c r="J17">
        <v>9348.5499999999993</v>
      </c>
    </row>
    <row r="18" spans="1:10" x14ac:dyDescent="0.35">
      <c r="A18" t="s">
        <v>27</v>
      </c>
      <c r="B18" t="s">
        <v>9</v>
      </c>
      <c r="C18" t="s">
        <v>15</v>
      </c>
      <c r="D18">
        <v>40</v>
      </c>
      <c r="E18">
        <v>96</v>
      </c>
      <c r="F18" s="1">
        <v>45007</v>
      </c>
      <c r="G18" s="1">
        <v>45013</v>
      </c>
      <c r="H18" s="2">
        <f t="shared" si="0"/>
        <v>6</v>
      </c>
      <c r="I18" s="3" t="str">
        <f t="shared" si="1"/>
        <v>Mar</v>
      </c>
      <c r="J18">
        <v>48548.44</v>
      </c>
    </row>
    <row r="19" spans="1:10" x14ac:dyDescent="0.35">
      <c r="A19" t="s">
        <v>28</v>
      </c>
      <c r="B19" t="s">
        <v>14</v>
      </c>
      <c r="C19" t="s">
        <v>34</v>
      </c>
      <c r="D19">
        <v>14</v>
      </c>
      <c r="E19">
        <v>68</v>
      </c>
      <c r="F19" s="1">
        <v>45241</v>
      </c>
      <c r="G19" s="1">
        <v>45252</v>
      </c>
      <c r="H19" s="2">
        <f t="shared" si="0"/>
        <v>11</v>
      </c>
      <c r="I19" s="3" t="str">
        <f t="shared" si="1"/>
        <v>Nov</v>
      </c>
      <c r="J19">
        <v>29942.75</v>
      </c>
    </row>
    <row r="20" spans="1:10" x14ac:dyDescent="0.35">
      <c r="A20" t="s">
        <v>24</v>
      </c>
      <c r="B20" t="s">
        <v>35</v>
      </c>
      <c r="C20" t="s">
        <v>18</v>
      </c>
      <c r="D20">
        <v>41</v>
      </c>
      <c r="E20">
        <v>111</v>
      </c>
      <c r="F20" s="1">
        <v>45235</v>
      </c>
      <c r="G20" s="1">
        <v>45238</v>
      </c>
      <c r="H20" s="2">
        <f t="shared" si="0"/>
        <v>3</v>
      </c>
      <c r="I20" s="3" t="str">
        <f t="shared" si="1"/>
        <v>Nov</v>
      </c>
      <c r="J20">
        <v>43367.53</v>
      </c>
    </row>
    <row r="21" spans="1:10" x14ac:dyDescent="0.35">
      <c r="A21" t="s">
        <v>11</v>
      </c>
      <c r="B21" t="s">
        <v>29</v>
      </c>
      <c r="C21" t="s">
        <v>18</v>
      </c>
      <c r="D21">
        <v>46</v>
      </c>
      <c r="E21">
        <v>154</v>
      </c>
      <c r="F21" s="1">
        <v>44971</v>
      </c>
      <c r="G21" s="1">
        <v>44975</v>
      </c>
      <c r="H21" s="2">
        <f t="shared" si="0"/>
        <v>4</v>
      </c>
      <c r="I21" s="3" t="str">
        <f t="shared" si="1"/>
        <v>Feb</v>
      </c>
      <c r="J21">
        <v>41367.1</v>
      </c>
    </row>
    <row r="22" spans="1:10" x14ac:dyDescent="0.35">
      <c r="A22" t="s">
        <v>36</v>
      </c>
      <c r="B22" t="s">
        <v>37</v>
      </c>
      <c r="C22" t="s">
        <v>30</v>
      </c>
      <c r="D22">
        <v>7</v>
      </c>
      <c r="E22">
        <v>68</v>
      </c>
      <c r="F22" s="1">
        <v>45205</v>
      </c>
      <c r="G22" s="1">
        <v>45206</v>
      </c>
      <c r="H22" s="2">
        <f t="shared" si="0"/>
        <v>1</v>
      </c>
      <c r="I22" s="3" t="str">
        <f t="shared" si="1"/>
        <v>Oct</v>
      </c>
      <c r="J22">
        <v>30136.26</v>
      </c>
    </row>
    <row r="23" spans="1:10" x14ac:dyDescent="0.35">
      <c r="A23" t="s">
        <v>24</v>
      </c>
      <c r="B23" t="s">
        <v>17</v>
      </c>
      <c r="C23" t="s">
        <v>30</v>
      </c>
      <c r="D23">
        <v>28</v>
      </c>
      <c r="E23">
        <v>191</v>
      </c>
      <c r="F23" s="1">
        <v>45024</v>
      </c>
      <c r="G23" s="1">
        <v>45038</v>
      </c>
      <c r="H23" s="2">
        <f t="shared" si="0"/>
        <v>14</v>
      </c>
      <c r="I23" s="3" t="str">
        <f t="shared" si="1"/>
        <v>Apr</v>
      </c>
      <c r="J23">
        <v>17698.490000000002</v>
      </c>
    </row>
    <row r="24" spans="1:10" x14ac:dyDescent="0.35">
      <c r="A24" t="s">
        <v>11</v>
      </c>
      <c r="B24" t="s">
        <v>14</v>
      </c>
      <c r="C24" t="s">
        <v>22</v>
      </c>
      <c r="D24">
        <v>32</v>
      </c>
      <c r="E24">
        <v>116</v>
      </c>
      <c r="F24" s="1">
        <v>45227</v>
      </c>
      <c r="G24" s="1">
        <v>45229</v>
      </c>
      <c r="H24" s="2">
        <f t="shared" si="0"/>
        <v>2</v>
      </c>
      <c r="I24" s="3" t="str">
        <f t="shared" si="1"/>
        <v>Oct</v>
      </c>
      <c r="J24">
        <v>40799.019999999997</v>
      </c>
    </row>
    <row r="25" spans="1:10" x14ac:dyDescent="0.35">
      <c r="A25" t="s">
        <v>24</v>
      </c>
      <c r="B25" t="s">
        <v>17</v>
      </c>
      <c r="C25" t="s">
        <v>10</v>
      </c>
      <c r="D25">
        <v>5</v>
      </c>
      <c r="E25">
        <v>79</v>
      </c>
      <c r="F25" s="1">
        <v>45010</v>
      </c>
      <c r="G25" s="1">
        <v>45014</v>
      </c>
      <c r="H25" s="2">
        <f t="shared" si="0"/>
        <v>4</v>
      </c>
      <c r="I25" s="3" t="str">
        <f t="shared" si="1"/>
        <v>Mar</v>
      </c>
      <c r="J25">
        <v>20952.509999999998</v>
      </c>
    </row>
    <row r="26" spans="1:10" x14ac:dyDescent="0.35">
      <c r="A26" t="s">
        <v>19</v>
      </c>
      <c r="B26" t="s">
        <v>31</v>
      </c>
      <c r="C26" t="s">
        <v>22</v>
      </c>
      <c r="D26">
        <v>48</v>
      </c>
      <c r="E26">
        <v>91</v>
      </c>
      <c r="F26" s="1">
        <v>44981</v>
      </c>
      <c r="G26" s="1">
        <v>44989</v>
      </c>
      <c r="H26" s="2">
        <f t="shared" si="0"/>
        <v>8</v>
      </c>
      <c r="I26" s="3" t="str">
        <f t="shared" si="1"/>
        <v>Feb</v>
      </c>
      <c r="J26">
        <v>10882.4</v>
      </c>
    </row>
    <row r="27" spans="1:10" x14ac:dyDescent="0.35">
      <c r="A27" t="s">
        <v>24</v>
      </c>
      <c r="B27" t="s">
        <v>12</v>
      </c>
      <c r="C27" t="s">
        <v>13</v>
      </c>
      <c r="D27">
        <v>9</v>
      </c>
      <c r="E27">
        <v>59</v>
      </c>
      <c r="F27" s="1">
        <v>45239</v>
      </c>
      <c r="G27" s="1">
        <v>45246</v>
      </c>
      <c r="H27" s="2">
        <f t="shared" si="0"/>
        <v>7</v>
      </c>
      <c r="I27" s="3" t="str">
        <f t="shared" si="1"/>
        <v>Nov</v>
      </c>
      <c r="J27">
        <v>25177.79</v>
      </c>
    </row>
    <row r="28" spans="1:10" x14ac:dyDescent="0.35">
      <c r="A28" t="s">
        <v>24</v>
      </c>
      <c r="B28" t="s">
        <v>31</v>
      </c>
      <c r="C28" t="s">
        <v>13</v>
      </c>
      <c r="D28">
        <v>9</v>
      </c>
      <c r="E28">
        <v>171</v>
      </c>
      <c r="F28" s="1">
        <v>45022</v>
      </c>
      <c r="G28" s="1">
        <v>45037</v>
      </c>
      <c r="H28" s="2">
        <f t="shared" si="0"/>
        <v>15</v>
      </c>
      <c r="I28" s="3" t="str">
        <f t="shared" si="1"/>
        <v>Apr</v>
      </c>
      <c r="J28">
        <v>21666.78</v>
      </c>
    </row>
    <row r="29" spans="1:10" x14ac:dyDescent="0.35">
      <c r="A29" t="s">
        <v>24</v>
      </c>
      <c r="B29" t="s">
        <v>31</v>
      </c>
      <c r="C29" t="s">
        <v>30</v>
      </c>
      <c r="D29">
        <v>20</v>
      </c>
      <c r="E29">
        <v>39</v>
      </c>
      <c r="F29" s="1">
        <v>45051</v>
      </c>
      <c r="G29" s="1">
        <v>45056</v>
      </c>
      <c r="H29" s="2">
        <f t="shared" si="0"/>
        <v>5</v>
      </c>
      <c r="I29" s="3" t="str">
        <f t="shared" si="1"/>
        <v>May</v>
      </c>
      <c r="J29">
        <v>37856.699999999997</v>
      </c>
    </row>
    <row r="30" spans="1:10" x14ac:dyDescent="0.35">
      <c r="A30" t="s">
        <v>28</v>
      </c>
      <c r="B30" t="s">
        <v>12</v>
      </c>
      <c r="C30" t="s">
        <v>32</v>
      </c>
      <c r="D30">
        <v>46</v>
      </c>
      <c r="E30">
        <v>55</v>
      </c>
      <c r="F30" s="1">
        <v>45194</v>
      </c>
      <c r="G30" s="1">
        <v>45198</v>
      </c>
      <c r="H30" s="2">
        <f t="shared" si="0"/>
        <v>4</v>
      </c>
      <c r="I30" s="3" t="str">
        <f t="shared" si="1"/>
        <v>Sep</v>
      </c>
      <c r="J30">
        <v>25298.5</v>
      </c>
    </row>
    <row r="31" spans="1:10" x14ac:dyDescent="0.35">
      <c r="A31" t="s">
        <v>19</v>
      </c>
      <c r="B31" t="s">
        <v>17</v>
      </c>
      <c r="C31" t="s">
        <v>30</v>
      </c>
      <c r="D31">
        <v>7</v>
      </c>
      <c r="E31">
        <v>88</v>
      </c>
      <c r="F31" s="1">
        <v>45058</v>
      </c>
      <c r="G31" s="1">
        <v>45067</v>
      </c>
      <c r="H31" s="2">
        <f t="shared" si="0"/>
        <v>9</v>
      </c>
      <c r="I31" s="3" t="str">
        <f t="shared" si="1"/>
        <v>May</v>
      </c>
      <c r="J31">
        <v>28558.23</v>
      </c>
    </row>
    <row r="32" spans="1:10" x14ac:dyDescent="0.35">
      <c r="A32" t="s">
        <v>23</v>
      </c>
      <c r="B32" t="s">
        <v>9</v>
      </c>
      <c r="C32" t="s">
        <v>30</v>
      </c>
      <c r="D32">
        <v>36</v>
      </c>
      <c r="E32">
        <v>69</v>
      </c>
      <c r="F32" s="1">
        <v>45188</v>
      </c>
      <c r="G32" s="1">
        <v>45189</v>
      </c>
      <c r="H32" s="2">
        <f t="shared" si="0"/>
        <v>1</v>
      </c>
      <c r="I32" s="3" t="str">
        <f t="shared" si="1"/>
        <v>Sep</v>
      </c>
      <c r="J32">
        <v>44452.26</v>
      </c>
    </row>
    <row r="33" spans="1:10" x14ac:dyDescent="0.35">
      <c r="A33" t="s">
        <v>28</v>
      </c>
      <c r="B33" t="s">
        <v>29</v>
      </c>
      <c r="C33" t="s">
        <v>34</v>
      </c>
      <c r="D33">
        <v>20</v>
      </c>
      <c r="E33">
        <v>94</v>
      </c>
      <c r="F33" s="1">
        <v>45159</v>
      </c>
      <c r="G33" s="1">
        <v>45166</v>
      </c>
      <c r="H33" s="2">
        <f t="shared" si="0"/>
        <v>7</v>
      </c>
      <c r="I33" s="3" t="str">
        <f t="shared" si="1"/>
        <v>Aug</v>
      </c>
      <c r="J33">
        <v>49955.41</v>
      </c>
    </row>
    <row r="34" spans="1:10" x14ac:dyDescent="0.35">
      <c r="A34" t="s">
        <v>27</v>
      </c>
      <c r="B34" t="s">
        <v>25</v>
      </c>
      <c r="C34" t="s">
        <v>30</v>
      </c>
      <c r="D34">
        <v>38</v>
      </c>
      <c r="E34">
        <v>139</v>
      </c>
      <c r="F34" s="1">
        <v>45108</v>
      </c>
      <c r="G34" s="1">
        <v>45122</v>
      </c>
      <c r="H34" s="2">
        <f t="shared" ref="H34:H65" si="2">G34-F34</f>
        <v>14</v>
      </c>
      <c r="I34" s="3" t="str">
        <f t="shared" ref="I34:I65" si="3">TEXT(F34,"mmm")</f>
        <v>Jul</v>
      </c>
      <c r="J34">
        <v>14118.62</v>
      </c>
    </row>
    <row r="35" spans="1:10" x14ac:dyDescent="0.35">
      <c r="A35" t="s">
        <v>23</v>
      </c>
      <c r="B35" t="s">
        <v>25</v>
      </c>
      <c r="C35" t="s">
        <v>18</v>
      </c>
      <c r="D35">
        <v>38</v>
      </c>
      <c r="E35">
        <v>62</v>
      </c>
      <c r="F35" s="1">
        <v>45084</v>
      </c>
      <c r="G35" s="1">
        <v>45094</v>
      </c>
      <c r="H35" s="2">
        <f t="shared" si="2"/>
        <v>10</v>
      </c>
      <c r="I35" s="3" t="str">
        <f t="shared" si="3"/>
        <v>Jun</v>
      </c>
      <c r="J35">
        <v>22074.89</v>
      </c>
    </row>
    <row r="36" spans="1:10" x14ac:dyDescent="0.35">
      <c r="A36" t="s">
        <v>23</v>
      </c>
      <c r="B36" t="s">
        <v>20</v>
      </c>
      <c r="C36" t="s">
        <v>10</v>
      </c>
      <c r="D36">
        <v>22</v>
      </c>
      <c r="E36">
        <v>133</v>
      </c>
      <c r="F36" s="1">
        <v>44970</v>
      </c>
      <c r="G36" s="1">
        <v>44985</v>
      </c>
      <c r="H36" s="2">
        <f t="shared" si="2"/>
        <v>15</v>
      </c>
      <c r="I36" s="3" t="str">
        <f t="shared" si="3"/>
        <v>Feb</v>
      </c>
      <c r="J36">
        <v>18795.689999999999</v>
      </c>
    </row>
    <row r="37" spans="1:10" x14ac:dyDescent="0.35">
      <c r="A37" t="s">
        <v>8</v>
      </c>
      <c r="B37" t="s">
        <v>25</v>
      </c>
      <c r="C37" t="s">
        <v>34</v>
      </c>
      <c r="D37">
        <v>47</v>
      </c>
      <c r="E37">
        <v>84</v>
      </c>
      <c r="F37" s="1">
        <v>44946</v>
      </c>
      <c r="G37" s="1">
        <v>44952</v>
      </c>
      <c r="H37" s="2">
        <f t="shared" si="2"/>
        <v>6</v>
      </c>
      <c r="I37" s="3" t="str">
        <f t="shared" si="3"/>
        <v>Jan</v>
      </c>
      <c r="J37">
        <v>26646.52</v>
      </c>
    </row>
    <row r="38" spans="1:10" x14ac:dyDescent="0.35">
      <c r="A38" t="s">
        <v>11</v>
      </c>
      <c r="B38" t="s">
        <v>25</v>
      </c>
      <c r="C38" t="s">
        <v>22</v>
      </c>
      <c r="D38">
        <v>15</v>
      </c>
      <c r="E38">
        <v>40</v>
      </c>
      <c r="F38" s="1">
        <v>45222</v>
      </c>
      <c r="G38" s="1">
        <v>45225</v>
      </c>
      <c r="H38" s="2">
        <f t="shared" si="2"/>
        <v>3</v>
      </c>
      <c r="I38" s="3" t="str">
        <f t="shared" si="3"/>
        <v>Oct</v>
      </c>
      <c r="J38">
        <v>37057.29</v>
      </c>
    </row>
    <row r="39" spans="1:10" x14ac:dyDescent="0.35">
      <c r="A39" t="s">
        <v>28</v>
      </c>
      <c r="B39" t="s">
        <v>35</v>
      </c>
      <c r="C39" t="s">
        <v>26</v>
      </c>
      <c r="D39">
        <v>46</v>
      </c>
      <c r="E39">
        <v>23</v>
      </c>
      <c r="F39" s="1">
        <v>45073</v>
      </c>
      <c r="G39" s="1">
        <v>45075</v>
      </c>
      <c r="H39" s="2">
        <f t="shared" si="2"/>
        <v>2</v>
      </c>
      <c r="I39" s="3" t="str">
        <f t="shared" si="3"/>
        <v>May</v>
      </c>
      <c r="J39">
        <v>40771.839999999997</v>
      </c>
    </row>
    <row r="40" spans="1:10" x14ac:dyDescent="0.35">
      <c r="A40" t="s">
        <v>19</v>
      </c>
      <c r="B40" t="s">
        <v>20</v>
      </c>
      <c r="C40" t="s">
        <v>18</v>
      </c>
      <c r="D40">
        <v>6</v>
      </c>
      <c r="E40">
        <v>166</v>
      </c>
      <c r="F40" s="1">
        <v>45276</v>
      </c>
      <c r="G40" s="1">
        <v>45285</v>
      </c>
      <c r="H40" s="2">
        <f t="shared" si="2"/>
        <v>9</v>
      </c>
      <c r="I40" s="3" t="str">
        <f t="shared" si="3"/>
        <v>Dec</v>
      </c>
      <c r="J40">
        <v>40731.29</v>
      </c>
    </row>
    <row r="41" spans="1:10" x14ac:dyDescent="0.35">
      <c r="A41" t="s">
        <v>8</v>
      </c>
      <c r="B41" t="s">
        <v>31</v>
      </c>
      <c r="C41" t="s">
        <v>18</v>
      </c>
      <c r="D41">
        <v>37</v>
      </c>
      <c r="E41">
        <v>85</v>
      </c>
      <c r="F41" s="1">
        <v>45086</v>
      </c>
      <c r="G41" s="1">
        <v>45093</v>
      </c>
      <c r="H41" s="2">
        <f t="shared" si="2"/>
        <v>7</v>
      </c>
      <c r="I41" s="3" t="str">
        <f t="shared" si="3"/>
        <v>Jun</v>
      </c>
      <c r="J41">
        <v>4872.04</v>
      </c>
    </row>
    <row r="42" spans="1:10" x14ac:dyDescent="0.35">
      <c r="A42" t="s">
        <v>36</v>
      </c>
      <c r="B42" t="s">
        <v>31</v>
      </c>
      <c r="C42" t="s">
        <v>34</v>
      </c>
      <c r="D42">
        <v>22</v>
      </c>
      <c r="E42">
        <v>167</v>
      </c>
      <c r="F42" s="1">
        <v>45289</v>
      </c>
      <c r="G42" s="1">
        <v>45301</v>
      </c>
      <c r="H42" s="2">
        <f t="shared" si="2"/>
        <v>12</v>
      </c>
      <c r="I42" s="3" t="str">
        <f t="shared" si="3"/>
        <v>Dec</v>
      </c>
      <c r="J42">
        <v>44531.22</v>
      </c>
    </row>
    <row r="43" spans="1:10" x14ac:dyDescent="0.35">
      <c r="A43" t="s">
        <v>24</v>
      </c>
      <c r="B43" t="s">
        <v>9</v>
      </c>
      <c r="C43" t="s">
        <v>13</v>
      </c>
      <c r="D43">
        <v>8</v>
      </c>
      <c r="E43">
        <v>61</v>
      </c>
      <c r="F43" s="1">
        <v>45179</v>
      </c>
      <c r="G43" s="1">
        <v>45184</v>
      </c>
      <c r="H43" s="2">
        <f t="shared" si="2"/>
        <v>5</v>
      </c>
      <c r="I43" s="3" t="str">
        <f t="shared" si="3"/>
        <v>Sep</v>
      </c>
      <c r="J43">
        <v>42769.14</v>
      </c>
    </row>
    <row r="44" spans="1:10" x14ac:dyDescent="0.35">
      <c r="A44" t="s">
        <v>11</v>
      </c>
      <c r="B44" t="s">
        <v>37</v>
      </c>
      <c r="C44" t="s">
        <v>21</v>
      </c>
      <c r="D44">
        <v>30</v>
      </c>
      <c r="E44">
        <v>69</v>
      </c>
      <c r="F44" s="1">
        <v>45243</v>
      </c>
      <c r="G44" s="1">
        <v>45256</v>
      </c>
      <c r="H44" s="2">
        <f t="shared" si="2"/>
        <v>13</v>
      </c>
      <c r="I44" s="3" t="str">
        <f t="shared" si="3"/>
        <v>Nov</v>
      </c>
      <c r="J44">
        <v>14701.02</v>
      </c>
    </row>
    <row r="45" spans="1:10" x14ac:dyDescent="0.35">
      <c r="A45" t="s">
        <v>19</v>
      </c>
      <c r="B45" t="s">
        <v>25</v>
      </c>
      <c r="C45" t="s">
        <v>21</v>
      </c>
      <c r="D45">
        <v>11</v>
      </c>
      <c r="E45">
        <v>22</v>
      </c>
      <c r="F45" s="1">
        <v>45061</v>
      </c>
      <c r="G45" s="1">
        <v>45064</v>
      </c>
      <c r="H45" s="2">
        <f t="shared" si="2"/>
        <v>3</v>
      </c>
      <c r="I45" s="3" t="str">
        <f t="shared" si="3"/>
        <v>May</v>
      </c>
      <c r="J45">
        <v>48466.080000000002</v>
      </c>
    </row>
    <row r="46" spans="1:10" x14ac:dyDescent="0.35">
      <c r="A46" t="s">
        <v>33</v>
      </c>
      <c r="B46" t="s">
        <v>37</v>
      </c>
      <c r="C46" t="s">
        <v>13</v>
      </c>
      <c r="D46">
        <v>37</v>
      </c>
      <c r="E46">
        <v>26</v>
      </c>
      <c r="F46" s="1">
        <v>45117</v>
      </c>
      <c r="G46" s="1">
        <v>45131</v>
      </c>
      <c r="H46" s="2">
        <f t="shared" si="2"/>
        <v>14</v>
      </c>
      <c r="I46" s="3" t="str">
        <f t="shared" si="3"/>
        <v>Jul</v>
      </c>
      <c r="J46">
        <v>25367.78</v>
      </c>
    </row>
    <row r="47" spans="1:10" x14ac:dyDescent="0.35">
      <c r="A47" t="s">
        <v>27</v>
      </c>
      <c r="B47" t="s">
        <v>14</v>
      </c>
      <c r="C47" t="s">
        <v>30</v>
      </c>
      <c r="D47">
        <v>15</v>
      </c>
      <c r="E47">
        <v>112</v>
      </c>
      <c r="F47" s="1">
        <v>45011</v>
      </c>
      <c r="G47" s="1">
        <v>45013</v>
      </c>
      <c r="H47" s="2">
        <f t="shared" si="2"/>
        <v>2</v>
      </c>
      <c r="I47" s="3" t="str">
        <f t="shared" si="3"/>
        <v>Mar</v>
      </c>
      <c r="J47">
        <v>32628.67</v>
      </c>
    </row>
    <row r="48" spans="1:10" x14ac:dyDescent="0.35">
      <c r="A48" t="s">
        <v>16</v>
      </c>
      <c r="B48" t="s">
        <v>31</v>
      </c>
      <c r="C48" t="s">
        <v>18</v>
      </c>
      <c r="D48">
        <v>30</v>
      </c>
      <c r="E48">
        <v>161</v>
      </c>
      <c r="F48" s="1">
        <v>45240</v>
      </c>
      <c r="G48" s="1">
        <v>45255</v>
      </c>
      <c r="H48" s="2">
        <f t="shared" si="2"/>
        <v>15</v>
      </c>
      <c r="I48" s="3" t="str">
        <f t="shared" si="3"/>
        <v>Nov</v>
      </c>
      <c r="J48">
        <v>10166.89</v>
      </c>
    </row>
    <row r="49" spans="1:10" x14ac:dyDescent="0.35">
      <c r="A49" t="s">
        <v>27</v>
      </c>
      <c r="B49" t="s">
        <v>37</v>
      </c>
      <c r="C49" t="s">
        <v>15</v>
      </c>
      <c r="D49">
        <v>8</v>
      </c>
      <c r="E49">
        <v>177</v>
      </c>
      <c r="F49" s="1">
        <v>45151</v>
      </c>
      <c r="G49" s="1">
        <v>45155</v>
      </c>
      <c r="H49" s="2">
        <f t="shared" si="2"/>
        <v>4</v>
      </c>
      <c r="I49" s="3" t="str">
        <f t="shared" si="3"/>
        <v>Aug</v>
      </c>
      <c r="J49">
        <v>15913.48</v>
      </c>
    </row>
    <row r="50" spans="1:10" x14ac:dyDescent="0.35">
      <c r="A50" t="s">
        <v>28</v>
      </c>
      <c r="B50" t="s">
        <v>17</v>
      </c>
      <c r="C50" t="s">
        <v>15</v>
      </c>
      <c r="D50">
        <v>30</v>
      </c>
      <c r="E50">
        <v>158</v>
      </c>
      <c r="F50" s="1">
        <v>45243</v>
      </c>
      <c r="G50" s="1">
        <v>45252</v>
      </c>
      <c r="H50" s="2">
        <f t="shared" si="2"/>
        <v>9</v>
      </c>
      <c r="I50" s="3" t="str">
        <f t="shared" si="3"/>
        <v>Nov</v>
      </c>
      <c r="J50">
        <v>16757.509999999998</v>
      </c>
    </row>
    <row r="51" spans="1:10" x14ac:dyDescent="0.35">
      <c r="A51" t="s">
        <v>8</v>
      </c>
      <c r="B51" t="s">
        <v>14</v>
      </c>
      <c r="C51" t="s">
        <v>34</v>
      </c>
      <c r="D51">
        <v>27</v>
      </c>
      <c r="E51">
        <v>65</v>
      </c>
      <c r="F51" s="1">
        <v>45014</v>
      </c>
      <c r="G51" s="1">
        <v>45024</v>
      </c>
      <c r="H51" s="2">
        <f t="shared" si="2"/>
        <v>10</v>
      </c>
      <c r="I51" s="3" t="str">
        <f t="shared" si="3"/>
        <v>Mar</v>
      </c>
      <c r="J51">
        <v>35720.61</v>
      </c>
    </row>
    <row r="52" spans="1:10" x14ac:dyDescent="0.35">
      <c r="A52" t="s">
        <v>27</v>
      </c>
      <c r="B52" t="s">
        <v>25</v>
      </c>
      <c r="C52" t="s">
        <v>26</v>
      </c>
      <c r="D52">
        <v>45</v>
      </c>
      <c r="E52">
        <v>88</v>
      </c>
      <c r="F52" s="1">
        <v>45098</v>
      </c>
      <c r="G52" s="1">
        <v>45112</v>
      </c>
      <c r="H52" s="2">
        <f t="shared" si="2"/>
        <v>14</v>
      </c>
      <c r="I52" s="3" t="str">
        <f t="shared" si="3"/>
        <v>Jun</v>
      </c>
      <c r="J52">
        <v>9438.26</v>
      </c>
    </row>
    <row r="53" spans="1:10" x14ac:dyDescent="0.35">
      <c r="A53" t="s">
        <v>8</v>
      </c>
      <c r="B53" t="s">
        <v>31</v>
      </c>
      <c r="C53" t="s">
        <v>32</v>
      </c>
      <c r="D53">
        <v>32</v>
      </c>
      <c r="E53">
        <v>51</v>
      </c>
      <c r="F53" s="1">
        <v>45290</v>
      </c>
      <c r="G53" s="1">
        <v>45303</v>
      </c>
      <c r="H53" s="2">
        <f t="shared" si="2"/>
        <v>13</v>
      </c>
      <c r="I53" s="3" t="str">
        <f t="shared" si="3"/>
        <v>Dec</v>
      </c>
      <c r="J53">
        <v>27223.46</v>
      </c>
    </row>
    <row r="54" spans="1:10" x14ac:dyDescent="0.35">
      <c r="A54" t="s">
        <v>36</v>
      </c>
      <c r="B54" t="s">
        <v>20</v>
      </c>
      <c r="C54" t="s">
        <v>21</v>
      </c>
      <c r="D54">
        <v>10</v>
      </c>
      <c r="E54">
        <v>94</v>
      </c>
      <c r="F54" s="1">
        <v>44944</v>
      </c>
      <c r="G54" s="1">
        <v>44959</v>
      </c>
      <c r="H54" s="2">
        <f t="shared" si="2"/>
        <v>15</v>
      </c>
      <c r="I54" s="3" t="str">
        <f t="shared" si="3"/>
        <v>Jan</v>
      </c>
      <c r="J54">
        <v>35570.839999999997</v>
      </c>
    </row>
    <row r="55" spans="1:10" x14ac:dyDescent="0.35">
      <c r="A55" t="s">
        <v>28</v>
      </c>
      <c r="B55" t="s">
        <v>14</v>
      </c>
      <c r="C55" t="s">
        <v>18</v>
      </c>
      <c r="D55">
        <v>13</v>
      </c>
      <c r="E55">
        <v>75</v>
      </c>
      <c r="F55" s="1">
        <v>44964</v>
      </c>
      <c r="G55" s="1">
        <v>44970</v>
      </c>
      <c r="H55" s="2">
        <f t="shared" si="2"/>
        <v>6</v>
      </c>
      <c r="I55" s="3" t="str">
        <f t="shared" si="3"/>
        <v>Feb</v>
      </c>
      <c r="J55">
        <v>26027.37</v>
      </c>
    </row>
    <row r="56" spans="1:10" x14ac:dyDescent="0.35">
      <c r="A56" t="s">
        <v>33</v>
      </c>
      <c r="B56" t="s">
        <v>29</v>
      </c>
      <c r="C56" t="s">
        <v>18</v>
      </c>
      <c r="D56">
        <v>23</v>
      </c>
      <c r="E56">
        <v>109</v>
      </c>
      <c r="F56" s="1">
        <v>45100</v>
      </c>
      <c r="G56" s="1">
        <v>45108</v>
      </c>
      <c r="H56" s="2">
        <f t="shared" si="2"/>
        <v>8</v>
      </c>
      <c r="I56" s="3" t="str">
        <f t="shared" si="3"/>
        <v>Jun</v>
      </c>
      <c r="J56">
        <v>36909.89</v>
      </c>
    </row>
    <row r="57" spans="1:10" x14ac:dyDescent="0.35">
      <c r="A57" t="s">
        <v>11</v>
      </c>
      <c r="B57" t="s">
        <v>12</v>
      </c>
      <c r="C57" t="s">
        <v>22</v>
      </c>
      <c r="D57">
        <v>41</v>
      </c>
      <c r="E57">
        <v>47</v>
      </c>
      <c r="F57" s="1">
        <v>45010</v>
      </c>
      <c r="G57" s="1">
        <v>45014</v>
      </c>
      <c r="H57" s="2">
        <f t="shared" si="2"/>
        <v>4</v>
      </c>
      <c r="I57" s="3" t="str">
        <f t="shared" si="3"/>
        <v>Mar</v>
      </c>
      <c r="J57">
        <v>8519.11</v>
      </c>
    </row>
    <row r="58" spans="1:10" x14ac:dyDescent="0.35">
      <c r="A58" t="s">
        <v>36</v>
      </c>
      <c r="B58" t="s">
        <v>9</v>
      </c>
      <c r="C58" t="s">
        <v>15</v>
      </c>
      <c r="D58">
        <v>9</v>
      </c>
      <c r="E58">
        <v>134</v>
      </c>
      <c r="F58" s="1">
        <v>45063</v>
      </c>
      <c r="G58" s="1">
        <v>45077</v>
      </c>
      <c r="H58" s="2">
        <f t="shared" si="2"/>
        <v>14</v>
      </c>
      <c r="I58" s="3" t="str">
        <f t="shared" si="3"/>
        <v>May</v>
      </c>
      <c r="J58">
        <v>48873.72</v>
      </c>
    </row>
    <row r="59" spans="1:10" x14ac:dyDescent="0.35">
      <c r="A59" t="s">
        <v>36</v>
      </c>
      <c r="B59" t="s">
        <v>17</v>
      </c>
      <c r="C59" t="s">
        <v>26</v>
      </c>
      <c r="D59">
        <v>49</v>
      </c>
      <c r="E59">
        <v>42</v>
      </c>
      <c r="F59" s="1">
        <v>45288</v>
      </c>
      <c r="G59" s="1">
        <v>45298</v>
      </c>
      <c r="H59" s="2">
        <f t="shared" si="2"/>
        <v>10</v>
      </c>
      <c r="I59" s="3" t="str">
        <f t="shared" si="3"/>
        <v>Dec</v>
      </c>
      <c r="J59">
        <v>31342.58</v>
      </c>
    </row>
    <row r="60" spans="1:10" x14ac:dyDescent="0.35">
      <c r="A60" t="s">
        <v>23</v>
      </c>
      <c r="B60" t="s">
        <v>14</v>
      </c>
      <c r="C60" t="s">
        <v>10</v>
      </c>
      <c r="D60">
        <v>48</v>
      </c>
      <c r="E60">
        <v>138</v>
      </c>
      <c r="F60" s="1">
        <v>44944</v>
      </c>
      <c r="G60" s="1">
        <v>44952</v>
      </c>
      <c r="H60" s="2">
        <f t="shared" si="2"/>
        <v>8</v>
      </c>
      <c r="I60" s="3" t="str">
        <f t="shared" si="3"/>
        <v>Jan</v>
      </c>
      <c r="J60">
        <v>46741.91</v>
      </c>
    </row>
    <row r="61" spans="1:10" x14ac:dyDescent="0.35">
      <c r="A61" t="s">
        <v>23</v>
      </c>
      <c r="B61" t="s">
        <v>37</v>
      </c>
      <c r="C61" t="s">
        <v>13</v>
      </c>
      <c r="D61">
        <v>42</v>
      </c>
      <c r="E61">
        <v>58</v>
      </c>
      <c r="F61" s="1">
        <v>45187</v>
      </c>
      <c r="G61" s="1">
        <v>45188</v>
      </c>
      <c r="H61" s="2">
        <f t="shared" si="2"/>
        <v>1</v>
      </c>
      <c r="I61" s="3" t="str">
        <f t="shared" si="3"/>
        <v>Sep</v>
      </c>
      <c r="J61">
        <v>26614.52</v>
      </c>
    </row>
    <row r="62" spans="1:10" x14ac:dyDescent="0.35">
      <c r="A62" t="s">
        <v>28</v>
      </c>
      <c r="B62" t="s">
        <v>14</v>
      </c>
      <c r="C62" t="s">
        <v>18</v>
      </c>
      <c r="D62">
        <v>21</v>
      </c>
      <c r="E62">
        <v>50</v>
      </c>
      <c r="F62" s="1">
        <v>45099</v>
      </c>
      <c r="G62" s="1">
        <v>45104</v>
      </c>
      <c r="H62" s="2">
        <f t="shared" si="2"/>
        <v>5</v>
      </c>
      <c r="I62" s="3" t="str">
        <f t="shared" si="3"/>
        <v>Jun</v>
      </c>
      <c r="J62">
        <v>10978.18</v>
      </c>
    </row>
    <row r="63" spans="1:10" x14ac:dyDescent="0.35">
      <c r="A63" t="s">
        <v>23</v>
      </c>
      <c r="B63" t="s">
        <v>35</v>
      </c>
      <c r="C63" t="s">
        <v>13</v>
      </c>
      <c r="D63">
        <v>21</v>
      </c>
      <c r="E63">
        <v>66</v>
      </c>
      <c r="F63" s="1">
        <v>45289</v>
      </c>
      <c r="G63" s="1">
        <v>45304</v>
      </c>
      <c r="H63" s="2">
        <f t="shared" si="2"/>
        <v>15</v>
      </c>
      <c r="I63" s="3" t="str">
        <f t="shared" si="3"/>
        <v>Dec</v>
      </c>
      <c r="J63">
        <v>31175.27</v>
      </c>
    </row>
    <row r="64" spans="1:10" x14ac:dyDescent="0.35">
      <c r="A64" t="s">
        <v>33</v>
      </c>
      <c r="B64" t="s">
        <v>12</v>
      </c>
      <c r="C64" t="s">
        <v>10</v>
      </c>
      <c r="D64">
        <v>31</v>
      </c>
      <c r="E64">
        <v>122</v>
      </c>
      <c r="F64" s="1">
        <v>45240</v>
      </c>
      <c r="G64" s="1">
        <v>45243</v>
      </c>
      <c r="H64" s="2">
        <f t="shared" si="2"/>
        <v>3</v>
      </c>
      <c r="I64" s="3" t="str">
        <f t="shared" si="3"/>
        <v>Nov</v>
      </c>
      <c r="J64">
        <v>44290.86</v>
      </c>
    </row>
    <row r="65" spans="1:10" x14ac:dyDescent="0.35">
      <c r="A65" t="s">
        <v>16</v>
      </c>
      <c r="B65" t="s">
        <v>37</v>
      </c>
      <c r="C65" t="s">
        <v>13</v>
      </c>
      <c r="D65">
        <v>26</v>
      </c>
      <c r="E65">
        <v>85</v>
      </c>
      <c r="F65" s="1">
        <v>45194</v>
      </c>
      <c r="G65" s="1">
        <v>45198</v>
      </c>
      <c r="H65" s="2">
        <f t="shared" si="2"/>
        <v>4</v>
      </c>
      <c r="I65" s="3" t="str">
        <f t="shared" si="3"/>
        <v>Sep</v>
      </c>
      <c r="J65">
        <v>7502.64</v>
      </c>
    </row>
    <row r="66" spans="1:10" x14ac:dyDescent="0.35">
      <c r="A66" t="s">
        <v>36</v>
      </c>
      <c r="B66" t="s">
        <v>31</v>
      </c>
      <c r="C66" t="s">
        <v>13</v>
      </c>
      <c r="D66">
        <v>31</v>
      </c>
      <c r="E66">
        <v>75</v>
      </c>
      <c r="F66" s="1">
        <v>45083</v>
      </c>
      <c r="G66" s="1">
        <v>45088</v>
      </c>
      <c r="H66" s="2">
        <f t="shared" ref="H66:H97" si="4">G66-F66</f>
        <v>5</v>
      </c>
      <c r="I66" s="3" t="str">
        <f t="shared" ref="I66:I101" si="5">TEXT(F66,"mmm")</f>
        <v>Jun</v>
      </c>
      <c r="J66">
        <v>7121.37</v>
      </c>
    </row>
    <row r="67" spans="1:10" x14ac:dyDescent="0.35">
      <c r="A67" t="s">
        <v>16</v>
      </c>
      <c r="B67" t="s">
        <v>25</v>
      </c>
      <c r="C67" t="s">
        <v>18</v>
      </c>
      <c r="D67">
        <v>39</v>
      </c>
      <c r="E67">
        <v>70</v>
      </c>
      <c r="F67" s="1">
        <v>45135</v>
      </c>
      <c r="G67" s="1">
        <v>45142</v>
      </c>
      <c r="H67" s="2">
        <f t="shared" si="4"/>
        <v>7</v>
      </c>
      <c r="I67" s="3" t="str">
        <f t="shared" si="5"/>
        <v>Jul</v>
      </c>
      <c r="J67">
        <v>48241</v>
      </c>
    </row>
    <row r="68" spans="1:10" x14ac:dyDescent="0.35">
      <c r="A68" t="s">
        <v>19</v>
      </c>
      <c r="B68" t="s">
        <v>14</v>
      </c>
      <c r="C68" t="s">
        <v>34</v>
      </c>
      <c r="D68">
        <v>14</v>
      </c>
      <c r="E68">
        <v>91</v>
      </c>
      <c r="F68" s="1">
        <v>45127</v>
      </c>
      <c r="G68" s="1">
        <v>45141</v>
      </c>
      <c r="H68" s="2">
        <f t="shared" si="4"/>
        <v>14</v>
      </c>
      <c r="I68" s="3" t="str">
        <f t="shared" si="5"/>
        <v>Jul</v>
      </c>
      <c r="J68">
        <v>33446.239999999998</v>
      </c>
    </row>
    <row r="69" spans="1:10" x14ac:dyDescent="0.35">
      <c r="A69" t="s">
        <v>11</v>
      </c>
      <c r="B69" t="s">
        <v>37</v>
      </c>
      <c r="C69" t="s">
        <v>13</v>
      </c>
      <c r="D69">
        <v>14</v>
      </c>
      <c r="E69">
        <v>62</v>
      </c>
      <c r="F69" s="1">
        <v>45277</v>
      </c>
      <c r="G69" s="1">
        <v>45290</v>
      </c>
      <c r="H69" s="2">
        <f t="shared" si="4"/>
        <v>13</v>
      </c>
      <c r="I69" s="3" t="str">
        <f t="shared" si="5"/>
        <v>Dec</v>
      </c>
      <c r="J69">
        <v>13590.65</v>
      </c>
    </row>
    <row r="70" spans="1:10" x14ac:dyDescent="0.35">
      <c r="A70" t="s">
        <v>19</v>
      </c>
      <c r="B70" t="s">
        <v>9</v>
      </c>
      <c r="C70" t="s">
        <v>21</v>
      </c>
      <c r="D70">
        <v>28</v>
      </c>
      <c r="E70">
        <v>84</v>
      </c>
      <c r="F70" s="1">
        <v>44965</v>
      </c>
      <c r="G70" s="1">
        <v>44979</v>
      </c>
      <c r="H70" s="2">
        <f t="shared" si="4"/>
        <v>14</v>
      </c>
      <c r="I70" s="3" t="str">
        <f t="shared" si="5"/>
        <v>Feb</v>
      </c>
      <c r="J70">
        <v>20849.310000000001</v>
      </c>
    </row>
    <row r="71" spans="1:10" x14ac:dyDescent="0.35">
      <c r="A71" t="s">
        <v>27</v>
      </c>
      <c r="B71" t="s">
        <v>17</v>
      </c>
      <c r="C71" t="s">
        <v>34</v>
      </c>
      <c r="D71">
        <v>35</v>
      </c>
      <c r="E71">
        <v>57</v>
      </c>
      <c r="F71" s="1">
        <v>45147</v>
      </c>
      <c r="G71" s="1">
        <v>45157</v>
      </c>
      <c r="H71" s="2">
        <f t="shared" si="4"/>
        <v>10</v>
      </c>
      <c r="I71" s="3" t="str">
        <f t="shared" si="5"/>
        <v>Aug</v>
      </c>
      <c r="J71">
        <v>4388.33</v>
      </c>
    </row>
    <row r="72" spans="1:10" x14ac:dyDescent="0.35">
      <c r="A72" t="s">
        <v>28</v>
      </c>
      <c r="B72" t="s">
        <v>12</v>
      </c>
      <c r="C72" t="s">
        <v>15</v>
      </c>
      <c r="D72">
        <v>5</v>
      </c>
      <c r="E72">
        <v>41</v>
      </c>
      <c r="F72" s="1">
        <v>45016</v>
      </c>
      <c r="G72" s="1">
        <v>45021</v>
      </c>
      <c r="H72" s="2">
        <f t="shared" si="4"/>
        <v>5</v>
      </c>
      <c r="I72" s="3" t="str">
        <f t="shared" si="5"/>
        <v>Mar</v>
      </c>
      <c r="J72">
        <v>23916.63</v>
      </c>
    </row>
    <row r="73" spans="1:10" x14ac:dyDescent="0.35">
      <c r="A73" t="s">
        <v>16</v>
      </c>
      <c r="B73" t="s">
        <v>37</v>
      </c>
      <c r="C73" t="s">
        <v>18</v>
      </c>
      <c r="D73">
        <v>29</v>
      </c>
      <c r="E73">
        <v>54</v>
      </c>
      <c r="F73" s="1">
        <v>45221</v>
      </c>
      <c r="G73" s="1">
        <v>45235</v>
      </c>
      <c r="H73" s="2">
        <f t="shared" si="4"/>
        <v>14</v>
      </c>
      <c r="I73" s="3" t="str">
        <f t="shared" si="5"/>
        <v>Oct</v>
      </c>
      <c r="J73">
        <v>5084.1099999999997</v>
      </c>
    </row>
    <row r="74" spans="1:10" x14ac:dyDescent="0.35">
      <c r="A74" t="s">
        <v>24</v>
      </c>
      <c r="B74" t="s">
        <v>14</v>
      </c>
      <c r="C74" t="s">
        <v>34</v>
      </c>
      <c r="D74">
        <v>28</v>
      </c>
      <c r="E74">
        <v>102</v>
      </c>
      <c r="F74" s="1">
        <v>45273</v>
      </c>
      <c r="G74" s="1">
        <v>45280</v>
      </c>
      <c r="H74" s="2">
        <f t="shared" si="4"/>
        <v>7</v>
      </c>
      <c r="I74" s="3" t="str">
        <f t="shared" si="5"/>
        <v>Dec</v>
      </c>
      <c r="J74">
        <v>23328.9</v>
      </c>
    </row>
    <row r="75" spans="1:10" x14ac:dyDescent="0.35">
      <c r="A75" t="s">
        <v>19</v>
      </c>
      <c r="B75" t="s">
        <v>35</v>
      </c>
      <c r="C75" t="s">
        <v>15</v>
      </c>
      <c r="D75">
        <v>41</v>
      </c>
      <c r="E75">
        <v>27</v>
      </c>
      <c r="F75" s="1">
        <v>44977</v>
      </c>
      <c r="G75" s="1">
        <v>44991</v>
      </c>
      <c r="H75" s="2">
        <f t="shared" si="4"/>
        <v>14</v>
      </c>
      <c r="I75" s="3" t="str">
        <f t="shared" si="5"/>
        <v>Feb</v>
      </c>
      <c r="J75">
        <v>33417.279999999999</v>
      </c>
    </row>
    <row r="76" spans="1:10" x14ac:dyDescent="0.35">
      <c r="A76" t="s">
        <v>28</v>
      </c>
      <c r="B76" t="s">
        <v>25</v>
      </c>
      <c r="C76" t="s">
        <v>32</v>
      </c>
      <c r="D76">
        <v>6</v>
      </c>
      <c r="E76">
        <v>110</v>
      </c>
      <c r="F76" s="1">
        <v>45190</v>
      </c>
      <c r="G76" s="1">
        <v>45205</v>
      </c>
      <c r="H76" s="2">
        <f t="shared" si="4"/>
        <v>15</v>
      </c>
      <c r="I76" s="3" t="str">
        <f t="shared" si="5"/>
        <v>Sep</v>
      </c>
      <c r="J76">
        <v>36545.43</v>
      </c>
    </row>
    <row r="77" spans="1:10" x14ac:dyDescent="0.35">
      <c r="A77" t="s">
        <v>33</v>
      </c>
      <c r="B77" t="s">
        <v>25</v>
      </c>
      <c r="C77" t="s">
        <v>22</v>
      </c>
      <c r="D77">
        <v>19</v>
      </c>
      <c r="E77">
        <v>31</v>
      </c>
      <c r="F77" s="1">
        <v>45108</v>
      </c>
      <c r="G77" s="1">
        <v>45122</v>
      </c>
      <c r="H77" s="2">
        <f t="shared" si="4"/>
        <v>14</v>
      </c>
      <c r="I77" s="3" t="str">
        <f t="shared" si="5"/>
        <v>Jul</v>
      </c>
      <c r="J77">
        <v>43687.01</v>
      </c>
    </row>
    <row r="78" spans="1:10" x14ac:dyDescent="0.35">
      <c r="A78" t="s">
        <v>33</v>
      </c>
      <c r="B78" t="s">
        <v>20</v>
      </c>
      <c r="C78" t="s">
        <v>32</v>
      </c>
      <c r="D78">
        <v>7</v>
      </c>
      <c r="E78">
        <v>50</v>
      </c>
      <c r="F78" s="1">
        <v>45140</v>
      </c>
      <c r="G78" s="1">
        <v>45145</v>
      </c>
      <c r="H78" s="2">
        <f t="shared" si="4"/>
        <v>5</v>
      </c>
      <c r="I78" s="3" t="str">
        <f t="shared" si="5"/>
        <v>Aug</v>
      </c>
      <c r="J78">
        <v>13902.24</v>
      </c>
    </row>
    <row r="79" spans="1:10" x14ac:dyDescent="0.35">
      <c r="A79" t="s">
        <v>24</v>
      </c>
      <c r="B79" t="s">
        <v>29</v>
      </c>
      <c r="C79" t="s">
        <v>34</v>
      </c>
      <c r="D79">
        <v>32</v>
      </c>
      <c r="E79">
        <v>56</v>
      </c>
      <c r="F79" s="1">
        <v>44937</v>
      </c>
      <c r="G79" s="1">
        <v>44952</v>
      </c>
      <c r="H79" s="2">
        <f t="shared" si="4"/>
        <v>15</v>
      </c>
      <c r="I79" s="3" t="str">
        <f t="shared" si="5"/>
        <v>Jan</v>
      </c>
      <c r="J79">
        <v>22456.61</v>
      </c>
    </row>
    <row r="80" spans="1:10" x14ac:dyDescent="0.35">
      <c r="A80" t="s">
        <v>36</v>
      </c>
      <c r="B80" t="s">
        <v>9</v>
      </c>
      <c r="C80" t="s">
        <v>18</v>
      </c>
      <c r="D80">
        <v>28</v>
      </c>
      <c r="E80">
        <v>154</v>
      </c>
      <c r="F80" s="1">
        <v>45173</v>
      </c>
      <c r="G80" s="1">
        <v>45188</v>
      </c>
      <c r="H80" s="2">
        <f t="shared" si="4"/>
        <v>15</v>
      </c>
      <c r="I80" s="3" t="str">
        <f t="shared" si="5"/>
        <v>Sep</v>
      </c>
      <c r="J80">
        <v>23012.639999999999</v>
      </c>
    </row>
    <row r="81" spans="1:10" x14ac:dyDescent="0.35">
      <c r="A81" t="s">
        <v>16</v>
      </c>
      <c r="B81" t="s">
        <v>31</v>
      </c>
      <c r="C81" t="s">
        <v>34</v>
      </c>
      <c r="D81">
        <v>44</v>
      </c>
      <c r="E81">
        <v>194</v>
      </c>
      <c r="F81" s="1">
        <v>45156</v>
      </c>
      <c r="G81" s="1">
        <v>45165</v>
      </c>
      <c r="H81" s="2">
        <f t="shared" si="4"/>
        <v>9</v>
      </c>
      <c r="I81" s="3" t="str">
        <f t="shared" si="5"/>
        <v>Aug</v>
      </c>
      <c r="J81">
        <v>33963.65</v>
      </c>
    </row>
    <row r="82" spans="1:10" x14ac:dyDescent="0.35">
      <c r="A82" t="s">
        <v>24</v>
      </c>
      <c r="B82" t="s">
        <v>17</v>
      </c>
      <c r="C82" t="s">
        <v>21</v>
      </c>
      <c r="D82">
        <v>40</v>
      </c>
      <c r="E82">
        <v>150</v>
      </c>
      <c r="F82" s="1">
        <v>45047</v>
      </c>
      <c r="G82" s="1">
        <v>45048</v>
      </c>
      <c r="H82" s="2">
        <f t="shared" si="4"/>
        <v>1</v>
      </c>
      <c r="I82" s="3" t="str">
        <f t="shared" si="5"/>
        <v>May</v>
      </c>
      <c r="J82">
        <v>9775.99</v>
      </c>
    </row>
    <row r="83" spans="1:10" x14ac:dyDescent="0.35">
      <c r="A83" t="s">
        <v>36</v>
      </c>
      <c r="B83" t="s">
        <v>14</v>
      </c>
      <c r="C83" t="s">
        <v>18</v>
      </c>
      <c r="D83">
        <v>38</v>
      </c>
      <c r="E83">
        <v>108</v>
      </c>
      <c r="F83" s="1">
        <v>45024</v>
      </c>
      <c r="G83" s="1">
        <v>45036</v>
      </c>
      <c r="H83" s="2">
        <f t="shared" si="4"/>
        <v>12</v>
      </c>
      <c r="I83" s="3" t="str">
        <f t="shared" si="5"/>
        <v>Apr</v>
      </c>
      <c r="J83">
        <v>17211.57</v>
      </c>
    </row>
    <row r="84" spans="1:10" x14ac:dyDescent="0.35">
      <c r="A84" t="s">
        <v>23</v>
      </c>
      <c r="B84" t="s">
        <v>14</v>
      </c>
      <c r="C84" t="s">
        <v>18</v>
      </c>
      <c r="D84">
        <v>17</v>
      </c>
      <c r="E84">
        <v>29</v>
      </c>
      <c r="F84" s="1">
        <v>44942</v>
      </c>
      <c r="G84" s="1">
        <v>44951</v>
      </c>
      <c r="H84" s="2">
        <f t="shared" si="4"/>
        <v>9</v>
      </c>
      <c r="I84" s="3" t="str">
        <f t="shared" si="5"/>
        <v>Jan</v>
      </c>
      <c r="J84">
        <v>17999.48</v>
      </c>
    </row>
    <row r="85" spans="1:10" x14ac:dyDescent="0.35">
      <c r="A85" t="s">
        <v>36</v>
      </c>
      <c r="B85" t="s">
        <v>17</v>
      </c>
      <c r="C85" t="s">
        <v>30</v>
      </c>
      <c r="D85">
        <v>43</v>
      </c>
      <c r="E85">
        <v>96</v>
      </c>
      <c r="F85" s="1">
        <v>44961</v>
      </c>
      <c r="G85" s="1">
        <v>44962</v>
      </c>
      <c r="H85" s="2">
        <f t="shared" si="4"/>
        <v>1</v>
      </c>
      <c r="I85" s="3" t="str">
        <f t="shared" si="5"/>
        <v>Feb</v>
      </c>
      <c r="J85">
        <v>42883.43</v>
      </c>
    </row>
    <row r="86" spans="1:10" x14ac:dyDescent="0.35">
      <c r="A86" t="s">
        <v>23</v>
      </c>
      <c r="B86" t="s">
        <v>35</v>
      </c>
      <c r="C86" t="s">
        <v>32</v>
      </c>
      <c r="D86">
        <v>21</v>
      </c>
      <c r="E86">
        <v>151</v>
      </c>
      <c r="F86" s="1">
        <v>45084</v>
      </c>
      <c r="G86" s="1">
        <v>45086</v>
      </c>
      <c r="H86" s="2">
        <f t="shared" si="4"/>
        <v>2</v>
      </c>
      <c r="I86" s="3" t="str">
        <f t="shared" si="5"/>
        <v>Jun</v>
      </c>
      <c r="J86">
        <v>2854.22</v>
      </c>
    </row>
    <row r="87" spans="1:10" x14ac:dyDescent="0.35">
      <c r="A87" t="s">
        <v>33</v>
      </c>
      <c r="B87" t="s">
        <v>25</v>
      </c>
      <c r="C87" t="s">
        <v>34</v>
      </c>
      <c r="D87">
        <v>40</v>
      </c>
      <c r="E87">
        <v>88</v>
      </c>
      <c r="F87" s="1">
        <v>45007</v>
      </c>
      <c r="G87" s="1">
        <v>45010</v>
      </c>
      <c r="H87" s="2">
        <f t="shared" si="4"/>
        <v>3</v>
      </c>
      <c r="I87" s="3" t="str">
        <f t="shared" si="5"/>
        <v>Mar</v>
      </c>
      <c r="J87">
        <v>8333.48</v>
      </c>
    </row>
    <row r="88" spans="1:10" x14ac:dyDescent="0.35">
      <c r="A88" t="s">
        <v>19</v>
      </c>
      <c r="B88" t="s">
        <v>14</v>
      </c>
      <c r="C88" t="s">
        <v>18</v>
      </c>
      <c r="D88">
        <v>25</v>
      </c>
      <c r="E88">
        <v>131</v>
      </c>
      <c r="F88" s="1">
        <v>45107</v>
      </c>
      <c r="G88" s="1">
        <v>45109</v>
      </c>
      <c r="H88" s="2">
        <f t="shared" si="4"/>
        <v>2</v>
      </c>
      <c r="I88" s="3" t="str">
        <f t="shared" si="5"/>
        <v>Jun</v>
      </c>
      <c r="J88">
        <v>47678.73</v>
      </c>
    </row>
    <row r="89" spans="1:10" x14ac:dyDescent="0.35">
      <c r="A89" t="s">
        <v>11</v>
      </c>
      <c r="B89" t="s">
        <v>14</v>
      </c>
      <c r="C89" t="s">
        <v>30</v>
      </c>
      <c r="D89">
        <v>9</v>
      </c>
      <c r="E89">
        <v>106</v>
      </c>
      <c r="F89" s="1">
        <v>45244</v>
      </c>
      <c r="G89" s="1">
        <v>45251</v>
      </c>
      <c r="H89" s="2">
        <f t="shared" si="4"/>
        <v>7</v>
      </c>
      <c r="I89" s="3" t="str">
        <f t="shared" si="5"/>
        <v>Nov</v>
      </c>
      <c r="J89">
        <v>44526.27</v>
      </c>
    </row>
    <row r="90" spans="1:10" x14ac:dyDescent="0.35">
      <c r="A90" t="s">
        <v>28</v>
      </c>
      <c r="B90" t="s">
        <v>12</v>
      </c>
      <c r="C90" t="s">
        <v>26</v>
      </c>
      <c r="D90">
        <v>48</v>
      </c>
      <c r="E90">
        <v>25</v>
      </c>
      <c r="F90" s="1">
        <v>45215</v>
      </c>
      <c r="G90" s="1">
        <v>45227</v>
      </c>
      <c r="H90" s="2">
        <f t="shared" si="4"/>
        <v>12</v>
      </c>
      <c r="I90" s="3" t="str">
        <f t="shared" si="5"/>
        <v>Oct</v>
      </c>
      <c r="J90">
        <v>4514.63</v>
      </c>
    </row>
    <row r="91" spans="1:10" x14ac:dyDescent="0.35">
      <c r="A91" t="s">
        <v>36</v>
      </c>
      <c r="B91" t="s">
        <v>14</v>
      </c>
      <c r="C91" t="s">
        <v>21</v>
      </c>
      <c r="D91">
        <v>23</v>
      </c>
      <c r="E91">
        <v>20</v>
      </c>
      <c r="F91" s="1">
        <v>45033</v>
      </c>
      <c r="G91" s="1">
        <v>45038</v>
      </c>
      <c r="H91" s="2">
        <f t="shared" si="4"/>
        <v>5</v>
      </c>
      <c r="I91" s="3" t="str">
        <f t="shared" si="5"/>
        <v>Apr</v>
      </c>
      <c r="J91">
        <v>25418.26</v>
      </c>
    </row>
    <row r="92" spans="1:10" x14ac:dyDescent="0.35">
      <c r="A92" t="s">
        <v>23</v>
      </c>
      <c r="B92" t="s">
        <v>12</v>
      </c>
      <c r="C92" t="s">
        <v>10</v>
      </c>
      <c r="D92">
        <v>6</v>
      </c>
      <c r="E92">
        <v>48</v>
      </c>
      <c r="F92" s="1">
        <v>45118</v>
      </c>
      <c r="G92" s="1">
        <v>45131</v>
      </c>
      <c r="H92" s="2">
        <f t="shared" si="4"/>
        <v>13</v>
      </c>
      <c r="I92" s="3" t="str">
        <f t="shared" si="5"/>
        <v>Jul</v>
      </c>
      <c r="J92">
        <v>46666.48</v>
      </c>
    </row>
    <row r="93" spans="1:10" x14ac:dyDescent="0.35">
      <c r="A93" t="s">
        <v>11</v>
      </c>
      <c r="B93" t="s">
        <v>17</v>
      </c>
      <c r="C93" t="s">
        <v>13</v>
      </c>
      <c r="D93">
        <v>19</v>
      </c>
      <c r="E93">
        <v>152</v>
      </c>
      <c r="F93" s="1">
        <v>45187</v>
      </c>
      <c r="G93" s="1">
        <v>45188</v>
      </c>
      <c r="H93" s="2">
        <f t="shared" si="4"/>
        <v>1</v>
      </c>
      <c r="I93" s="3" t="str">
        <f t="shared" si="5"/>
        <v>Sep</v>
      </c>
      <c r="J93">
        <v>39298.300000000003</v>
      </c>
    </row>
    <row r="94" spans="1:10" x14ac:dyDescent="0.35">
      <c r="A94" t="s">
        <v>33</v>
      </c>
      <c r="B94" t="s">
        <v>35</v>
      </c>
      <c r="C94" t="s">
        <v>26</v>
      </c>
      <c r="D94">
        <v>24</v>
      </c>
      <c r="E94">
        <v>43</v>
      </c>
      <c r="F94" s="1">
        <v>45198</v>
      </c>
      <c r="G94" s="1">
        <v>45200</v>
      </c>
      <c r="H94" s="2">
        <f t="shared" si="4"/>
        <v>2</v>
      </c>
      <c r="I94" s="3" t="str">
        <f t="shared" si="5"/>
        <v>Sep</v>
      </c>
      <c r="J94">
        <v>45451.78</v>
      </c>
    </row>
    <row r="95" spans="1:10" x14ac:dyDescent="0.35">
      <c r="A95" t="s">
        <v>23</v>
      </c>
      <c r="B95" t="s">
        <v>25</v>
      </c>
      <c r="C95" t="s">
        <v>15</v>
      </c>
      <c r="D95">
        <v>43</v>
      </c>
      <c r="E95">
        <v>133</v>
      </c>
      <c r="F95" s="1">
        <v>44953</v>
      </c>
      <c r="G95" s="1">
        <v>44968</v>
      </c>
      <c r="H95" s="2">
        <f t="shared" si="4"/>
        <v>15</v>
      </c>
      <c r="I95" s="3" t="str">
        <f t="shared" si="5"/>
        <v>Jan</v>
      </c>
      <c r="J95">
        <v>24556.18</v>
      </c>
    </row>
    <row r="96" spans="1:10" x14ac:dyDescent="0.35">
      <c r="A96" t="s">
        <v>27</v>
      </c>
      <c r="B96" t="s">
        <v>20</v>
      </c>
      <c r="C96" t="s">
        <v>22</v>
      </c>
      <c r="D96">
        <v>20</v>
      </c>
      <c r="E96">
        <v>77</v>
      </c>
      <c r="F96" s="1">
        <v>44992</v>
      </c>
      <c r="G96" s="1">
        <v>45003</v>
      </c>
      <c r="H96" s="2">
        <f t="shared" si="4"/>
        <v>11</v>
      </c>
      <c r="I96" s="3" t="str">
        <f t="shared" si="5"/>
        <v>Mar</v>
      </c>
      <c r="J96">
        <v>7146.07</v>
      </c>
    </row>
    <row r="97" spans="1:10" x14ac:dyDescent="0.35">
      <c r="A97" t="s">
        <v>8</v>
      </c>
      <c r="B97" t="s">
        <v>37</v>
      </c>
      <c r="C97" t="s">
        <v>21</v>
      </c>
      <c r="D97">
        <v>28</v>
      </c>
      <c r="E97">
        <v>126</v>
      </c>
      <c r="F97" s="1">
        <v>45259</v>
      </c>
      <c r="G97" s="1">
        <v>45270</v>
      </c>
      <c r="H97" s="2">
        <f t="shared" si="4"/>
        <v>11</v>
      </c>
      <c r="I97" s="3" t="str">
        <f t="shared" si="5"/>
        <v>Nov</v>
      </c>
      <c r="J97">
        <v>21065.59</v>
      </c>
    </row>
    <row r="98" spans="1:10" x14ac:dyDescent="0.35">
      <c r="A98" t="s">
        <v>16</v>
      </c>
      <c r="B98" t="s">
        <v>25</v>
      </c>
      <c r="C98" t="s">
        <v>26</v>
      </c>
      <c r="D98">
        <v>26</v>
      </c>
      <c r="E98">
        <v>169</v>
      </c>
      <c r="F98" s="1">
        <v>44975</v>
      </c>
      <c r="G98" s="1">
        <v>44976</v>
      </c>
      <c r="H98" s="2">
        <f t="shared" ref="H98:H129" si="6">G98-F98</f>
        <v>1</v>
      </c>
      <c r="I98" s="3" t="str">
        <f t="shared" si="5"/>
        <v>Feb</v>
      </c>
      <c r="J98">
        <v>41677.339999999997</v>
      </c>
    </row>
    <row r="99" spans="1:10" x14ac:dyDescent="0.35">
      <c r="A99" t="s">
        <v>28</v>
      </c>
      <c r="B99" t="s">
        <v>37</v>
      </c>
      <c r="C99" t="s">
        <v>22</v>
      </c>
      <c r="D99">
        <v>40</v>
      </c>
      <c r="E99">
        <v>193</v>
      </c>
      <c r="F99" s="1">
        <v>45231</v>
      </c>
      <c r="G99" s="1">
        <v>45245</v>
      </c>
      <c r="H99" s="2">
        <f t="shared" si="6"/>
        <v>14</v>
      </c>
      <c r="I99" s="3" t="str">
        <f t="shared" si="5"/>
        <v>Nov</v>
      </c>
      <c r="J99">
        <v>47625.7</v>
      </c>
    </row>
    <row r="100" spans="1:10" x14ac:dyDescent="0.35">
      <c r="A100" t="s">
        <v>36</v>
      </c>
      <c r="B100" t="s">
        <v>31</v>
      </c>
      <c r="C100" t="s">
        <v>34</v>
      </c>
      <c r="D100">
        <v>42</v>
      </c>
      <c r="E100">
        <v>163</v>
      </c>
      <c r="F100" s="1">
        <v>45065</v>
      </c>
      <c r="G100" s="1">
        <v>45072</v>
      </c>
      <c r="H100" s="2">
        <f t="shared" si="6"/>
        <v>7</v>
      </c>
      <c r="I100" s="3" t="str">
        <f t="shared" si="5"/>
        <v>May</v>
      </c>
      <c r="J100">
        <v>8684.16</v>
      </c>
    </row>
    <row r="101" spans="1:10" x14ac:dyDescent="0.35">
      <c r="A101" t="s">
        <v>28</v>
      </c>
      <c r="B101" t="s">
        <v>37</v>
      </c>
      <c r="C101" t="s">
        <v>18</v>
      </c>
      <c r="D101">
        <v>14</v>
      </c>
      <c r="E101">
        <v>37</v>
      </c>
      <c r="F101" s="1">
        <v>45269</v>
      </c>
      <c r="G101" s="1">
        <v>45275</v>
      </c>
      <c r="H101" s="2">
        <f t="shared" si="6"/>
        <v>6</v>
      </c>
      <c r="I101" s="3" t="str">
        <f t="shared" si="5"/>
        <v>Dec</v>
      </c>
      <c r="J101">
        <v>17213.05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59D7-F082-49AB-9588-3CB793E1FE42}">
  <dimension ref="A3:B14"/>
  <sheetViews>
    <sheetView workbookViewId="0">
      <selection activeCell="J20" sqref="J20"/>
    </sheetView>
  </sheetViews>
  <sheetFormatPr defaultRowHeight="14.5" x14ac:dyDescent="0.35"/>
  <cols>
    <col min="1" max="1" width="15.54296875" bestFit="1" customWidth="1"/>
    <col min="2" max="2" width="19.7265625" bestFit="1" customWidth="1"/>
  </cols>
  <sheetData>
    <row r="3" spans="1:2" x14ac:dyDescent="0.35">
      <c r="A3" s="4" t="s">
        <v>40</v>
      </c>
      <c r="B3" t="s">
        <v>42</v>
      </c>
    </row>
    <row r="4" spans="1:2" x14ac:dyDescent="0.35">
      <c r="A4" s="5" t="s">
        <v>32</v>
      </c>
      <c r="B4" s="2">
        <v>544</v>
      </c>
    </row>
    <row r="5" spans="1:2" x14ac:dyDescent="0.35">
      <c r="A5" s="5" t="s">
        <v>30</v>
      </c>
      <c r="B5" s="2">
        <v>978</v>
      </c>
    </row>
    <row r="6" spans="1:2" x14ac:dyDescent="0.35">
      <c r="A6" s="5" t="s">
        <v>13</v>
      </c>
      <c r="B6" s="2">
        <v>1064</v>
      </c>
    </row>
    <row r="7" spans="1:2" x14ac:dyDescent="0.35">
      <c r="A7" s="5" t="s">
        <v>26</v>
      </c>
      <c r="B7" s="2">
        <v>563</v>
      </c>
    </row>
    <row r="8" spans="1:2" x14ac:dyDescent="0.35">
      <c r="A8" s="5" t="s">
        <v>21</v>
      </c>
      <c r="B8" s="2">
        <v>678</v>
      </c>
    </row>
    <row r="9" spans="1:2" x14ac:dyDescent="0.35">
      <c r="A9" s="5" t="s">
        <v>34</v>
      </c>
      <c r="B9" s="2">
        <v>1229</v>
      </c>
    </row>
    <row r="10" spans="1:2" x14ac:dyDescent="0.35">
      <c r="A10" s="5" t="s">
        <v>22</v>
      </c>
      <c r="B10" s="2">
        <v>770</v>
      </c>
    </row>
    <row r="11" spans="1:2" x14ac:dyDescent="0.35">
      <c r="A11" s="5" t="s">
        <v>10</v>
      </c>
      <c r="B11" s="2">
        <v>762</v>
      </c>
    </row>
    <row r="12" spans="1:2" x14ac:dyDescent="0.35">
      <c r="A12" s="5" t="s">
        <v>15</v>
      </c>
      <c r="B12" s="2">
        <v>993</v>
      </c>
    </row>
    <row r="13" spans="1:2" x14ac:dyDescent="0.35">
      <c r="A13" s="5" t="s">
        <v>18</v>
      </c>
      <c r="B13" s="2">
        <v>1766</v>
      </c>
    </row>
    <row r="14" spans="1:2" x14ac:dyDescent="0.35">
      <c r="A14" s="5" t="s">
        <v>41</v>
      </c>
      <c r="B14" s="2">
        <v>9347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841D-1465-44A3-9751-C694D6CD2E5E}">
  <dimension ref="A3:B14"/>
  <sheetViews>
    <sheetView workbookViewId="0">
      <selection activeCell="B20" sqref="B20"/>
    </sheetView>
  </sheetViews>
  <sheetFormatPr defaultRowHeight="14.5" x14ac:dyDescent="0.35"/>
  <cols>
    <col min="1" max="1" width="12.36328125" bestFit="1" customWidth="1"/>
    <col min="2" max="2" width="19.7265625" bestFit="1" customWidth="1"/>
  </cols>
  <sheetData>
    <row r="3" spans="1:2" x14ac:dyDescent="0.35">
      <c r="A3" s="4" t="s">
        <v>40</v>
      </c>
      <c r="B3" t="s">
        <v>42</v>
      </c>
    </row>
    <row r="4" spans="1:2" x14ac:dyDescent="0.35">
      <c r="A4" s="5" t="s">
        <v>14</v>
      </c>
      <c r="B4" s="2">
        <v>1467</v>
      </c>
    </row>
    <row r="5" spans="1:2" x14ac:dyDescent="0.35">
      <c r="A5" s="5" t="s">
        <v>37</v>
      </c>
      <c r="B5" s="2">
        <v>955</v>
      </c>
    </row>
    <row r="6" spans="1:2" x14ac:dyDescent="0.35">
      <c r="A6" s="5" t="s">
        <v>9</v>
      </c>
      <c r="B6" s="2">
        <v>840</v>
      </c>
    </row>
    <row r="7" spans="1:2" x14ac:dyDescent="0.35">
      <c r="A7" s="5" t="s">
        <v>35</v>
      </c>
      <c r="B7" s="2">
        <v>421</v>
      </c>
    </row>
    <row r="8" spans="1:2" x14ac:dyDescent="0.35">
      <c r="A8" s="5" t="s">
        <v>17</v>
      </c>
      <c r="B8" s="2">
        <v>1261</v>
      </c>
    </row>
    <row r="9" spans="1:2" x14ac:dyDescent="0.35">
      <c r="A9" s="5" t="s">
        <v>25</v>
      </c>
      <c r="B9" s="2">
        <v>1505</v>
      </c>
    </row>
    <row r="10" spans="1:2" x14ac:dyDescent="0.35">
      <c r="A10" s="5" t="s">
        <v>20</v>
      </c>
      <c r="B10" s="2">
        <v>596</v>
      </c>
    </row>
    <row r="11" spans="1:2" x14ac:dyDescent="0.35">
      <c r="A11" s="5" t="s">
        <v>31</v>
      </c>
      <c r="B11" s="2">
        <v>1264</v>
      </c>
    </row>
    <row r="12" spans="1:2" x14ac:dyDescent="0.35">
      <c r="A12" s="5" t="s">
        <v>29</v>
      </c>
      <c r="B12" s="2">
        <v>483</v>
      </c>
    </row>
    <row r="13" spans="1:2" x14ac:dyDescent="0.35">
      <c r="A13" s="5" t="s">
        <v>12</v>
      </c>
      <c r="B13" s="2">
        <v>555</v>
      </c>
    </row>
    <row r="14" spans="1:2" x14ac:dyDescent="0.35">
      <c r="A14" s="5" t="s">
        <v>41</v>
      </c>
      <c r="B14" s="2">
        <v>9347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063B-7D9A-4D20-9792-90A301E85CAD}">
  <dimension ref="A3:B14"/>
  <sheetViews>
    <sheetView workbookViewId="0">
      <selection activeCell="E19" sqref="E19"/>
    </sheetView>
  </sheetViews>
  <sheetFormatPr defaultRowHeight="14.5" x14ac:dyDescent="0.35"/>
  <cols>
    <col min="1" max="1" width="18.7265625" bestFit="1" customWidth="1"/>
    <col min="2" max="2" width="22.08984375" bestFit="1" customWidth="1"/>
  </cols>
  <sheetData>
    <row r="3" spans="1:2" x14ac:dyDescent="0.35">
      <c r="A3" s="4" t="s">
        <v>40</v>
      </c>
      <c r="B3" t="s">
        <v>43</v>
      </c>
    </row>
    <row r="4" spans="1:2" x14ac:dyDescent="0.35">
      <c r="A4" s="5" t="s">
        <v>24</v>
      </c>
      <c r="B4" s="2">
        <v>277335.09000000003</v>
      </c>
    </row>
    <row r="5" spans="1:2" x14ac:dyDescent="0.35">
      <c r="A5" s="5" t="s">
        <v>19</v>
      </c>
      <c r="B5" s="2">
        <v>347988.43999999994</v>
      </c>
    </row>
    <row r="6" spans="1:2" x14ac:dyDescent="0.35">
      <c r="A6" s="5" t="s">
        <v>11</v>
      </c>
      <c r="B6" s="2">
        <v>337677.36</v>
      </c>
    </row>
    <row r="7" spans="1:2" x14ac:dyDescent="0.35">
      <c r="A7" s="5" t="s">
        <v>23</v>
      </c>
      <c r="B7" s="2">
        <v>329739.44999999995</v>
      </c>
    </row>
    <row r="8" spans="1:2" x14ac:dyDescent="0.35">
      <c r="A8" s="5" t="s">
        <v>27</v>
      </c>
      <c r="B8" s="2">
        <v>162188.82999999999</v>
      </c>
    </row>
    <row r="9" spans="1:2" x14ac:dyDescent="0.35">
      <c r="A9" s="5" t="s">
        <v>28</v>
      </c>
      <c r="B9" s="2">
        <v>352178.06</v>
      </c>
    </row>
    <row r="10" spans="1:2" x14ac:dyDescent="0.35">
      <c r="A10" s="5" t="s">
        <v>16</v>
      </c>
      <c r="B10" s="2">
        <v>186899.03</v>
      </c>
    </row>
    <row r="11" spans="1:2" x14ac:dyDescent="0.35">
      <c r="A11" s="5" t="s">
        <v>36</v>
      </c>
      <c r="B11" s="2">
        <v>314786.05</v>
      </c>
    </row>
    <row r="12" spans="1:2" x14ac:dyDescent="0.35">
      <c r="A12" s="5" t="s">
        <v>33</v>
      </c>
      <c r="B12" s="2">
        <v>233050.93</v>
      </c>
    </row>
    <row r="13" spans="1:2" x14ac:dyDescent="0.35">
      <c r="A13" s="5" t="s">
        <v>8</v>
      </c>
      <c r="B13" s="2">
        <v>175467.82</v>
      </c>
    </row>
    <row r="14" spans="1:2" x14ac:dyDescent="0.35">
      <c r="A14" s="5" t="s">
        <v>41</v>
      </c>
      <c r="B14" s="2">
        <v>2717311.06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D9A1-8024-486A-9017-D66FD3342FC1}">
  <dimension ref="A3:B16"/>
  <sheetViews>
    <sheetView workbookViewId="0">
      <selection activeCell="E20" sqref="E20"/>
    </sheetView>
  </sheetViews>
  <sheetFormatPr defaultRowHeight="14.5" x14ac:dyDescent="0.35"/>
  <cols>
    <col min="1" max="1" width="12.36328125" bestFit="1" customWidth="1"/>
    <col min="2" max="2" width="22.08984375" bestFit="1" customWidth="1"/>
  </cols>
  <sheetData>
    <row r="3" spans="1:2" x14ac:dyDescent="0.35">
      <c r="A3" s="4" t="s">
        <v>40</v>
      </c>
      <c r="B3" t="s">
        <v>43</v>
      </c>
    </row>
    <row r="4" spans="1:2" x14ac:dyDescent="0.35">
      <c r="A4" s="5" t="s">
        <v>44</v>
      </c>
      <c r="B4" s="2">
        <v>173971.54</v>
      </c>
    </row>
    <row r="5" spans="1:2" x14ac:dyDescent="0.35">
      <c r="A5" s="5" t="s">
        <v>45</v>
      </c>
      <c r="B5" s="2">
        <v>301722.71999999997</v>
      </c>
    </row>
    <row r="6" spans="1:2" x14ac:dyDescent="0.35">
      <c r="A6" s="5" t="s">
        <v>46</v>
      </c>
      <c r="B6" s="2">
        <v>199247.42</v>
      </c>
    </row>
    <row r="7" spans="1:2" x14ac:dyDescent="0.35">
      <c r="A7" s="5" t="s">
        <v>47</v>
      </c>
      <c r="B7" s="2">
        <v>88995.93</v>
      </c>
    </row>
    <row r="8" spans="1:2" x14ac:dyDescent="0.35">
      <c r="A8" s="5" t="s">
        <v>48</v>
      </c>
      <c r="B8" s="2">
        <v>222986.71999999997</v>
      </c>
    </row>
    <row r="9" spans="1:2" x14ac:dyDescent="0.35">
      <c r="A9" s="5" t="s">
        <v>49</v>
      </c>
      <c r="B9" s="2">
        <v>165926.36000000002</v>
      </c>
    </row>
    <row r="10" spans="1:2" x14ac:dyDescent="0.35">
      <c r="A10" s="5" t="s">
        <v>50</v>
      </c>
      <c r="B10" s="2">
        <v>211527.13</v>
      </c>
    </row>
    <row r="11" spans="1:2" x14ac:dyDescent="0.35">
      <c r="A11" s="5" t="s">
        <v>51</v>
      </c>
      <c r="B11" s="2">
        <v>181039.55</v>
      </c>
    </row>
    <row r="12" spans="1:2" x14ac:dyDescent="0.35">
      <c r="A12" s="5" t="s">
        <v>52</v>
      </c>
      <c r="B12" s="2">
        <v>341284.23</v>
      </c>
    </row>
    <row r="13" spans="1:2" x14ac:dyDescent="0.35">
      <c r="A13" s="5" t="s">
        <v>53</v>
      </c>
      <c r="B13" s="2">
        <v>158450.68</v>
      </c>
    </row>
    <row r="14" spans="1:2" x14ac:dyDescent="0.35">
      <c r="A14" s="5" t="s">
        <v>54</v>
      </c>
      <c r="B14" s="2">
        <v>334370.33</v>
      </c>
    </row>
    <row r="15" spans="1:2" x14ac:dyDescent="0.35">
      <c r="A15" s="5" t="s">
        <v>55</v>
      </c>
      <c r="B15" s="2">
        <v>337788.45000000007</v>
      </c>
    </row>
    <row r="16" spans="1:2" x14ac:dyDescent="0.35">
      <c r="A16" s="5" t="s">
        <v>41</v>
      </c>
      <c r="B16" s="2">
        <v>2717311.0600000005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96EC-52DE-4C61-A127-76D3C8C67409}">
  <dimension ref="A3:B14"/>
  <sheetViews>
    <sheetView workbookViewId="0">
      <selection activeCell="B8" sqref="B8"/>
    </sheetView>
  </sheetViews>
  <sheetFormatPr defaultRowHeight="14.5" x14ac:dyDescent="0.35"/>
  <cols>
    <col min="1" max="1" width="15.54296875" bestFit="1" customWidth="1"/>
    <col min="2" max="2" width="15.6328125" bestFit="1" customWidth="1"/>
  </cols>
  <sheetData>
    <row r="3" spans="1:2" x14ac:dyDescent="0.35">
      <c r="A3" s="4" t="s">
        <v>40</v>
      </c>
      <c r="B3" t="s">
        <v>56</v>
      </c>
    </row>
    <row r="4" spans="1:2" x14ac:dyDescent="0.35">
      <c r="A4" s="5" t="s">
        <v>32</v>
      </c>
      <c r="B4" s="2">
        <v>48</v>
      </c>
    </row>
    <row r="5" spans="1:2" x14ac:dyDescent="0.35">
      <c r="A5" s="5" t="s">
        <v>30</v>
      </c>
      <c r="B5" s="2">
        <v>56</v>
      </c>
    </row>
    <row r="6" spans="1:2" x14ac:dyDescent="0.35">
      <c r="A6" s="5" t="s">
        <v>13</v>
      </c>
      <c r="B6" s="2">
        <v>97</v>
      </c>
    </row>
    <row r="7" spans="1:2" x14ac:dyDescent="0.35">
      <c r="A7" s="5" t="s">
        <v>26</v>
      </c>
      <c r="B7" s="2">
        <v>52</v>
      </c>
    </row>
    <row r="8" spans="1:2" x14ac:dyDescent="0.35">
      <c r="A8" s="5" t="s">
        <v>21</v>
      </c>
      <c r="B8" s="2">
        <v>69</v>
      </c>
    </row>
    <row r="9" spans="1:2" x14ac:dyDescent="0.35">
      <c r="A9" s="5" t="s">
        <v>34</v>
      </c>
      <c r="B9" s="2">
        <v>111</v>
      </c>
    </row>
    <row r="10" spans="1:2" x14ac:dyDescent="0.35">
      <c r="A10" s="5" t="s">
        <v>22</v>
      </c>
      <c r="B10" s="2">
        <v>73</v>
      </c>
    </row>
    <row r="11" spans="1:2" x14ac:dyDescent="0.35">
      <c r="A11" s="5" t="s">
        <v>10</v>
      </c>
      <c r="B11" s="2">
        <v>50</v>
      </c>
    </row>
    <row r="12" spans="1:2" x14ac:dyDescent="0.35">
      <c r="A12" s="5" t="s">
        <v>15</v>
      </c>
      <c r="B12" s="2">
        <v>82</v>
      </c>
    </row>
    <row r="13" spans="1:2" x14ac:dyDescent="0.35">
      <c r="A13" s="5" t="s">
        <v>18</v>
      </c>
      <c r="B13" s="2">
        <v>157</v>
      </c>
    </row>
    <row r="14" spans="1:2" x14ac:dyDescent="0.35">
      <c r="A14" s="5" t="s">
        <v>41</v>
      </c>
      <c r="B14" s="2">
        <v>795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C6F9-C232-4C27-A28D-CAC915DCADE7}">
  <dimension ref="A1"/>
  <sheetViews>
    <sheetView tabSelected="1" zoomScale="81" zoomScaleNormal="81" workbookViewId="0">
      <selection activeCell="O8" sqref="O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Hospital_Data</vt:lpstr>
      <vt:lpstr>Patients by Department</vt:lpstr>
      <vt:lpstr>Patient by Location</vt:lpstr>
      <vt:lpstr>Expenses by Hospital</vt:lpstr>
      <vt:lpstr>Monthly Expenses Trend</vt:lpstr>
      <vt:lpstr>Avg Stay By Department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Shefali Mittal</dc:creator>
  <cp:lastModifiedBy>Shefali Mittal</cp:lastModifiedBy>
  <dcterms:created xsi:type="dcterms:W3CDTF">2026-04-28T12:25:52Z</dcterms:created>
  <dcterms:modified xsi:type="dcterms:W3CDTF">2026-04-28T12:25:52Z</dcterms:modified>
</cp:coreProperties>
</file>